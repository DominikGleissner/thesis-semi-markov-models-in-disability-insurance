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a_private\011 Studium\TU München\Semester 10\Masterarbeit\500 R Projekt\SemiMarkovModelsDisabilityInsurance\data\"/>
    </mc:Choice>
  </mc:AlternateContent>
  <xr:revisionPtr revIDLastSave="0" documentId="13_ncr:1_{02CD0C41-5C66-4E93-AA00-4DDA148BFC60}" xr6:coauthVersionLast="47" xr6:coauthVersionMax="47" xr10:uidLastSave="{00000000-0000-0000-0000-000000000000}"/>
  <bookViews>
    <workbookView xWindow="43080" yWindow="-120" windowWidth="29040" windowHeight="17520" tabRatio="500" activeTab="3" xr2:uid="{00000000-000D-0000-FFFF-FFFF00000000}"/>
  </bookViews>
  <sheets>
    <sheet name="README" sheetId="1" r:id="rId1"/>
    <sheet name="paste_RI" sheetId="2" r:id="rId2"/>
    <sheet name="paste_TI" sheetId="3" r:id="rId3"/>
    <sheet name="invali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61" i="4" l="1"/>
  <c r="C561" i="4"/>
  <c r="D560" i="4"/>
  <c r="C560" i="4"/>
  <c r="D559" i="4"/>
  <c r="C559" i="4"/>
  <c r="D558" i="4"/>
  <c r="C558" i="4"/>
  <c r="D557" i="4"/>
  <c r="C557" i="4"/>
  <c r="D556" i="4"/>
  <c r="C556" i="4"/>
  <c r="D555" i="4"/>
  <c r="C555" i="4"/>
  <c r="D554" i="4"/>
  <c r="C554" i="4"/>
  <c r="D553" i="4"/>
  <c r="C553" i="4"/>
  <c r="D552" i="4"/>
  <c r="C552" i="4"/>
  <c r="D551" i="4"/>
  <c r="C551" i="4"/>
  <c r="D550" i="4"/>
  <c r="C550" i="4"/>
  <c r="D549" i="4"/>
  <c r="C549" i="4"/>
  <c r="D548" i="4"/>
  <c r="C548" i="4"/>
  <c r="D547" i="4"/>
  <c r="C547" i="4"/>
  <c r="D546" i="4"/>
  <c r="C546" i="4"/>
  <c r="D545" i="4"/>
  <c r="C545" i="4"/>
  <c r="D544" i="4"/>
  <c r="C544" i="4"/>
  <c r="D543" i="4"/>
  <c r="C543" i="4"/>
  <c r="D542" i="4"/>
  <c r="C542" i="4"/>
  <c r="D541" i="4"/>
  <c r="C541" i="4"/>
  <c r="D540" i="4"/>
  <c r="C540" i="4"/>
  <c r="D539" i="4"/>
  <c r="C539" i="4"/>
  <c r="D538" i="4"/>
  <c r="C538" i="4"/>
  <c r="D537" i="4"/>
  <c r="C537" i="4"/>
  <c r="D536" i="4"/>
  <c r="C536" i="4"/>
  <c r="D535" i="4"/>
  <c r="C535" i="4"/>
  <c r="D534" i="4"/>
  <c r="C534" i="4"/>
  <c r="D533" i="4"/>
  <c r="C533" i="4"/>
  <c r="D532" i="4"/>
  <c r="C532" i="4"/>
  <c r="D531" i="4"/>
  <c r="C531" i="4"/>
  <c r="D530" i="4"/>
  <c r="C530" i="4"/>
  <c r="D529" i="4"/>
  <c r="C529" i="4"/>
  <c r="D528" i="4"/>
  <c r="C528" i="4"/>
  <c r="D527" i="4"/>
  <c r="C527" i="4"/>
  <c r="D526" i="4"/>
  <c r="C526" i="4"/>
  <c r="D525" i="4"/>
  <c r="C525" i="4"/>
  <c r="D524" i="4"/>
  <c r="C524" i="4"/>
  <c r="D523" i="4"/>
  <c r="C523" i="4"/>
  <c r="D522" i="4"/>
  <c r="C522" i="4"/>
  <c r="D521" i="4"/>
  <c r="C521" i="4"/>
  <c r="D520" i="4"/>
  <c r="C520" i="4"/>
  <c r="D519" i="4"/>
  <c r="C519" i="4"/>
  <c r="D518" i="4"/>
  <c r="C518" i="4"/>
  <c r="D517" i="4"/>
  <c r="C517" i="4"/>
  <c r="D516" i="4"/>
  <c r="C516" i="4"/>
  <c r="D515" i="4"/>
  <c r="C515" i="4"/>
  <c r="D514" i="4"/>
  <c r="C514" i="4"/>
  <c r="D513" i="4"/>
  <c r="C513" i="4"/>
  <c r="D512" i="4"/>
  <c r="C512" i="4"/>
  <c r="D511" i="4"/>
  <c r="C511" i="4"/>
  <c r="D510" i="4"/>
  <c r="C510" i="4"/>
  <c r="D509" i="4"/>
  <c r="C509" i="4"/>
  <c r="D508" i="4"/>
  <c r="C508" i="4"/>
  <c r="D507" i="4"/>
  <c r="C507" i="4"/>
  <c r="D506" i="4"/>
  <c r="C506" i="4"/>
  <c r="D505" i="4"/>
  <c r="C505" i="4"/>
  <c r="D504" i="4"/>
  <c r="C504" i="4"/>
  <c r="D503" i="4"/>
  <c r="C503" i="4"/>
  <c r="D502" i="4"/>
  <c r="C502" i="4"/>
  <c r="D501" i="4"/>
  <c r="C501" i="4"/>
  <c r="D500" i="4"/>
  <c r="C500" i="4"/>
  <c r="D499" i="4"/>
  <c r="C499" i="4"/>
  <c r="D498" i="4"/>
  <c r="C498" i="4"/>
  <c r="D497" i="4"/>
  <c r="C497" i="4"/>
  <c r="D496" i="4"/>
  <c r="C496" i="4"/>
  <c r="D495" i="4"/>
  <c r="C495" i="4"/>
  <c r="D494" i="4"/>
  <c r="C494" i="4"/>
  <c r="D493" i="4"/>
  <c r="C493" i="4"/>
  <c r="D492" i="4"/>
  <c r="C492" i="4"/>
  <c r="D491" i="4"/>
  <c r="C491" i="4"/>
  <c r="D490" i="4"/>
  <c r="C490" i="4"/>
  <c r="D489" i="4"/>
  <c r="C489" i="4"/>
  <c r="D488" i="4"/>
  <c r="C488" i="4"/>
  <c r="D487" i="4"/>
  <c r="C487" i="4"/>
  <c r="D486" i="4"/>
  <c r="C486" i="4"/>
  <c r="D485" i="4"/>
  <c r="C485" i="4"/>
  <c r="D484" i="4"/>
  <c r="C484" i="4"/>
  <c r="D483" i="4"/>
  <c r="C483" i="4"/>
  <c r="D482" i="4"/>
  <c r="C482" i="4"/>
  <c r="D481" i="4"/>
  <c r="C481" i="4"/>
  <c r="D480" i="4"/>
  <c r="C480" i="4"/>
  <c r="D479" i="4"/>
  <c r="C479" i="4"/>
  <c r="D478" i="4"/>
  <c r="C478" i="4"/>
  <c r="D477" i="4"/>
  <c r="C477" i="4"/>
  <c r="D476" i="4"/>
  <c r="C476" i="4"/>
  <c r="D475" i="4"/>
  <c r="C475" i="4"/>
  <c r="D474" i="4"/>
  <c r="C474" i="4"/>
  <c r="D473" i="4"/>
  <c r="C473" i="4"/>
  <c r="D472" i="4"/>
  <c r="C472" i="4"/>
  <c r="D471" i="4"/>
  <c r="C471" i="4"/>
  <c r="D470" i="4"/>
  <c r="C470" i="4"/>
  <c r="D469" i="4"/>
  <c r="C469" i="4"/>
  <c r="D468" i="4"/>
  <c r="C468" i="4"/>
  <c r="D467" i="4"/>
  <c r="C467" i="4"/>
  <c r="D466" i="4"/>
  <c r="C466" i="4"/>
  <c r="D465" i="4"/>
  <c r="C465" i="4"/>
  <c r="D464" i="4"/>
  <c r="C464" i="4"/>
  <c r="D463" i="4"/>
  <c r="C463" i="4"/>
  <c r="D462" i="4"/>
  <c r="C462" i="4"/>
  <c r="D461" i="4"/>
  <c r="C461" i="4"/>
  <c r="D460" i="4"/>
  <c r="C460" i="4"/>
  <c r="D459" i="4"/>
  <c r="C459" i="4"/>
  <c r="D458" i="4"/>
  <c r="C458" i="4"/>
  <c r="D457" i="4"/>
  <c r="C457" i="4"/>
  <c r="D456" i="4"/>
  <c r="C456" i="4"/>
  <c r="D455" i="4"/>
  <c r="C455" i="4"/>
  <c r="D454" i="4"/>
  <c r="C454" i="4"/>
  <c r="D453" i="4"/>
  <c r="C453" i="4"/>
  <c r="D452" i="4"/>
  <c r="C452" i="4"/>
  <c r="D451" i="4"/>
  <c r="C451" i="4"/>
  <c r="D450" i="4"/>
  <c r="C450" i="4"/>
  <c r="D449" i="4"/>
  <c r="C449" i="4"/>
  <c r="D448" i="4"/>
  <c r="C448" i="4"/>
  <c r="D447" i="4"/>
  <c r="C447" i="4"/>
  <c r="D446" i="4"/>
  <c r="C446" i="4"/>
  <c r="D445" i="4"/>
  <c r="C445" i="4"/>
  <c r="D444" i="4"/>
  <c r="C444" i="4"/>
  <c r="D443" i="4"/>
  <c r="C443" i="4"/>
  <c r="D442" i="4"/>
  <c r="C442" i="4"/>
  <c r="D441" i="4"/>
  <c r="C441" i="4"/>
  <c r="D440" i="4"/>
  <c r="C440" i="4"/>
  <c r="D439" i="4"/>
  <c r="C439" i="4"/>
  <c r="D438" i="4"/>
  <c r="C438" i="4"/>
  <c r="D437" i="4"/>
  <c r="C437" i="4"/>
  <c r="D436" i="4"/>
  <c r="C436" i="4"/>
  <c r="D435" i="4"/>
  <c r="C435" i="4"/>
  <c r="D434" i="4"/>
  <c r="C434" i="4"/>
  <c r="D433" i="4"/>
  <c r="C433" i="4"/>
  <c r="D432" i="4"/>
  <c r="C432" i="4"/>
  <c r="D431" i="4"/>
  <c r="C431" i="4"/>
  <c r="D430" i="4"/>
  <c r="C430" i="4"/>
  <c r="D429" i="4"/>
  <c r="C429" i="4"/>
  <c r="D428" i="4"/>
  <c r="C428" i="4"/>
  <c r="D427" i="4"/>
  <c r="C427" i="4"/>
  <c r="D426" i="4"/>
  <c r="C426" i="4"/>
  <c r="D425" i="4"/>
  <c r="C425" i="4"/>
  <c r="D424" i="4"/>
  <c r="C424" i="4"/>
  <c r="D423" i="4"/>
  <c r="C423" i="4"/>
  <c r="D422" i="4"/>
  <c r="C422" i="4"/>
  <c r="D421" i="4"/>
  <c r="C421" i="4"/>
  <c r="D420" i="4"/>
  <c r="C420" i="4"/>
  <c r="D419" i="4"/>
  <c r="C419" i="4"/>
  <c r="D418" i="4"/>
  <c r="C418" i="4"/>
  <c r="D417" i="4"/>
  <c r="C417" i="4"/>
  <c r="D416" i="4"/>
  <c r="C416" i="4"/>
  <c r="D415" i="4"/>
  <c r="C415" i="4"/>
  <c r="D414" i="4"/>
  <c r="C414" i="4"/>
  <c r="D413" i="4"/>
  <c r="C413" i="4"/>
  <c r="D412" i="4"/>
  <c r="C412" i="4"/>
  <c r="D411" i="4"/>
  <c r="C411" i="4"/>
  <c r="D410" i="4"/>
  <c r="C410" i="4"/>
  <c r="D409" i="4"/>
  <c r="C409" i="4"/>
  <c r="D408" i="4"/>
  <c r="C408" i="4"/>
  <c r="D407" i="4"/>
  <c r="C407" i="4"/>
  <c r="D406" i="4"/>
  <c r="C406" i="4"/>
  <c r="D405" i="4"/>
  <c r="C405" i="4"/>
  <c r="D404" i="4"/>
  <c r="C404" i="4"/>
  <c r="D403" i="4"/>
  <c r="C403" i="4"/>
  <c r="D402" i="4"/>
  <c r="C402" i="4"/>
  <c r="D401" i="4"/>
  <c r="C401" i="4"/>
  <c r="D400" i="4"/>
  <c r="C400" i="4"/>
  <c r="D399" i="4"/>
  <c r="C399" i="4"/>
  <c r="D398" i="4"/>
  <c r="C398" i="4"/>
  <c r="D397" i="4"/>
  <c r="C397" i="4"/>
  <c r="D396" i="4"/>
  <c r="C396" i="4"/>
  <c r="D395" i="4"/>
  <c r="C395" i="4"/>
  <c r="D394" i="4"/>
  <c r="C394" i="4"/>
  <c r="D393" i="4"/>
  <c r="C393" i="4"/>
  <c r="D392" i="4"/>
  <c r="C392" i="4"/>
  <c r="D391" i="4"/>
  <c r="C391" i="4"/>
  <c r="D390" i="4"/>
  <c r="C390" i="4"/>
  <c r="D389" i="4"/>
  <c r="C389" i="4"/>
  <c r="D388" i="4"/>
  <c r="C388" i="4"/>
  <c r="D387" i="4"/>
  <c r="C387" i="4"/>
  <c r="D386" i="4"/>
  <c r="C386" i="4"/>
  <c r="D385" i="4"/>
  <c r="C385" i="4"/>
  <c r="D384" i="4"/>
  <c r="C384" i="4"/>
  <c r="D383" i="4"/>
  <c r="C383" i="4"/>
  <c r="D382" i="4"/>
  <c r="C382" i="4"/>
  <c r="D381" i="4"/>
  <c r="C381" i="4"/>
  <c r="D380" i="4"/>
  <c r="C380" i="4"/>
  <c r="D379" i="4"/>
  <c r="C379" i="4"/>
  <c r="D378" i="4"/>
  <c r="C378" i="4"/>
  <c r="D377" i="4"/>
  <c r="C377" i="4"/>
  <c r="D376" i="4"/>
  <c r="C376" i="4"/>
  <c r="D375" i="4"/>
  <c r="C375" i="4"/>
  <c r="D374" i="4"/>
  <c r="C374" i="4"/>
  <c r="D373" i="4"/>
  <c r="C373" i="4"/>
  <c r="D372" i="4"/>
  <c r="C372" i="4"/>
  <c r="D371" i="4"/>
  <c r="C371" i="4"/>
  <c r="D370" i="4"/>
  <c r="C370" i="4"/>
  <c r="D369" i="4"/>
  <c r="C369" i="4"/>
  <c r="D368" i="4"/>
  <c r="C368" i="4"/>
  <c r="D367" i="4"/>
  <c r="C367" i="4"/>
  <c r="D366" i="4"/>
  <c r="C366" i="4"/>
  <c r="D365" i="4"/>
  <c r="C365" i="4"/>
  <c r="D364" i="4"/>
  <c r="C364" i="4"/>
  <c r="D363" i="4"/>
  <c r="C363" i="4"/>
  <c r="D362" i="4"/>
  <c r="C362" i="4"/>
  <c r="D361" i="4"/>
  <c r="C361" i="4"/>
  <c r="D360" i="4"/>
  <c r="C360" i="4"/>
  <c r="D359" i="4"/>
  <c r="C359" i="4"/>
  <c r="D358" i="4"/>
  <c r="C358" i="4"/>
  <c r="D357" i="4"/>
  <c r="C357" i="4"/>
  <c r="D356" i="4"/>
  <c r="C356" i="4"/>
  <c r="D355" i="4"/>
  <c r="C355" i="4"/>
  <c r="D354" i="4"/>
  <c r="C354" i="4"/>
  <c r="D353" i="4"/>
  <c r="C353" i="4"/>
  <c r="D352" i="4"/>
  <c r="C352" i="4"/>
  <c r="D351" i="4"/>
  <c r="C351" i="4"/>
  <c r="D350" i="4"/>
  <c r="C350" i="4"/>
  <c r="D349" i="4"/>
  <c r="C349" i="4"/>
  <c r="D348" i="4"/>
  <c r="C348" i="4"/>
  <c r="D347" i="4"/>
  <c r="C347" i="4"/>
  <c r="D346" i="4"/>
  <c r="C346" i="4"/>
  <c r="D345" i="4"/>
  <c r="C345" i="4"/>
  <c r="D344" i="4"/>
  <c r="C344" i="4"/>
  <c r="D343" i="4"/>
  <c r="C343" i="4"/>
  <c r="D342" i="4"/>
  <c r="C342" i="4"/>
  <c r="D341" i="4"/>
  <c r="C341" i="4"/>
  <c r="D340" i="4"/>
  <c r="C340" i="4"/>
  <c r="D339" i="4"/>
  <c r="C339" i="4"/>
  <c r="D338" i="4"/>
  <c r="C338" i="4"/>
  <c r="D337" i="4"/>
  <c r="C337" i="4"/>
  <c r="D336" i="4"/>
  <c r="C336" i="4"/>
  <c r="D335" i="4"/>
  <c r="C335" i="4"/>
  <c r="D334" i="4"/>
  <c r="C334" i="4"/>
  <c r="D333" i="4"/>
  <c r="C333" i="4"/>
  <c r="D332" i="4"/>
  <c r="C332" i="4"/>
  <c r="D331" i="4"/>
  <c r="C331" i="4"/>
  <c r="D330" i="4"/>
  <c r="C330" i="4"/>
  <c r="D329" i="4"/>
  <c r="C329" i="4"/>
  <c r="D328" i="4"/>
  <c r="C328" i="4"/>
  <c r="D327" i="4"/>
  <c r="C327" i="4"/>
  <c r="D326" i="4"/>
  <c r="C326" i="4"/>
  <c r="D325" i="4"/>
  <c r="C325" i="4"/>
  <c r="D324" i="4"/>
  <c r="C324" i="4"/>
  <c r="D323" i="4"/>
  <c r="C323" i="4"/>
  <c r="D322" i="4"/>
  <c r="C322" i="4"/>
  <c r="D321" i="4"/>
  <c r="C321" i="4"/>
  <c r="D320" i="4"/>
  <c r="C320" i="4"/>
  <c r="D319" i="4"/>
  <c r="C319" i="4"/>
  <c r="D318" i="4"/>
  <c r="C318" i="4"/>
  <c r="D317" i="4"/>
  <c r="C317" i="4"/>
  <c r="D316" i="4"/>
  <c r="C316" i="4"/>
  <c r="D315" i="4"/>
  <c r="C315" i="4"/>
  <c r="D314" i="4"/>
  <c r="C314" i="4"/>
  <c r="D313" i="4"/>
  <c r="C313" i="4"/>
  <c r="D312" i="4"/>
  <c r="C312" i="4"/>
  <c r="D311" i="4"/>
  <c r="C311" i="4"/>
  <c r="D310" i="4"/>
  <c r="C310" i="4"/>
  <c r="D309" i="4"/>
  <c r="C309" i="4"/>
  <c r="D308" i="4"/>
  <c r="C308" i="4"/>
  <c r="D307" i="4"/>
  <c r="C307" i="4"/>
  <c r="D306" i="4"/>
  <c r="C306" i="4"/>
  <c r="D305" i="4"/>
  <c r="C305" i="4"/>
  <c r="D304" i="4"/>
  <c r="C304" i="4"/>
  <c r="D303" i="4"/>
  <c r="C303" i="4"/>
  <c r="D302" i="4"/>
  <c r="C302" i="4"/>
  <c r="D301" i="4"/>
  <c r="C301" i="4"/>
  <c r="D300" i="4"/>
  <c r="C300" i="4"/>
  <c r="D299" i="4"/>
  <c r="C299" i="4"/>
  <c r="D298" i="4"/>
  <c r="C298" i="4"/>
  <c r="D297" i="4"/>
  <c r="C297" i="4"/>
  <c r="D296" i="4"/>
  <c r="C296" i="4"/>
  <c r="D295" i="4"/>
  <c r="C295" i="4"/>
  <c r="D294" i="4"/>
  <c r="C294" i="4"/>
  <c r="D293" i="4"/>
  <c r="C293" i="4"/>
  <c r="D292" i="4"/>
  <c r="C292" i="4"/>
  <c r="D291" i="4"/>
  <c r="C291" i="4"/>
  <c r="D290" i="4"/>
  <c r="C290" i="4"/>
  <c r="D289" i="4"/>
  <c r="C289" i="4"/>
  <c r="D288" i="4"/>
  <c r="C288" i="4"/>
  <c r="D287" i="4"/>
  <c r="C287" i="4"/>
  <c r="D286" i="4"/>
  <c r="C286" i="4"/>
  <c r="D285" i="4"/>
  <c r="C285" i="4"/>
  <c r="D284" i="4"/>
  <c r="C284" i="4"/>
  <c r="D283" i="4"/>
  <c r="C283" i="4"/>
  <c r="D282" i="4"/>
  <c r="C282" i="4"/>
  <c r="D281" i="4"/>
  <c r="C281" i="4"/>
  <c r="D280" i="4"/>
  <c r="C280" i="4"/>
  <c r="D279" i="4"/>
  <c r="C279" i="4"/>
  <c r="D278" i="4"/>
  <c r="C278" i="4"/>
  <c r="D277" i="4"/>
  <c r="C277" i="4"/>
  <c r="D276" i="4"/>
  <c r="C276" i="4"/>
  <c r="D275" i="4"/>
  <c r="C275" i="4"/>
  <c r="D274" i="4"/>
  <c r="C274" i="4"/>
  <c r="D273" i="4"/>
  <c r="C273" i="4"/>
  <c r="D272" i="4"/>
  <c r="C272" i="4"/>
  <c r="D271" i="4"/>
  <c r="C271" i="4"/>
  <c r="D270" i="4"/>
  <c r="C270" i="4"/>
  <c r="D269" i="4"/>
  <c r="C269" i="4"/>
  <c r="D268" i="4"/>
  <c r="C268" i="4"/>
  <c r="D267" i="4"/>
  <c r="C267" i="4"/>
  <c r="D266" i="4"/>
  <c r="C266" i="4"/>
  <c r="D265" i="4"/>
  <c r="C265" i="4"/>
  <c r="D264" i="4"/>
  <c r="C264" i="4"/>
  <c r="D263" i="4"/>
  <c r="C263" i="4"/>
  <c r="D262" i="4"/>
  <c r="C262" i="4"/>
  <c r="D261" i="4"/>
  <c r="C261" i="4"/>
  <c r="D260" i="4"/>
  <c r="C260" i="4"/>
  <c r="D259" i="4"/>
  <c r="C259" i="4"/>
  <c r="D258" i="4"/>
  <c r="C258" i="4"/>
  <c r="D257" i="4"/>
  <c r="C257" i="4"/>
  <c r="D256" i="4"/>
  <c r="C256" i="4"/>
  <c r="D255" i="4"/>
  <c r="C255" i="4"/>
  <c r="D254" i="4"/>
  <c r="C254" i="4"/>
  <c r="D253" i="4"/>
  <c r="C253" i="4"/>
  <c r="D252" i="4"/>
  <c r="C252" i="4"/>
  <c r="D251" i="4"/>
  <c r="C251" i="4"/>
  <c r="D250" i="4"/>
  <c r="C250" i="4"/>
  <c r="D249" i="4"/>
  <c r="C249" i="4"/>
  <c r="D248" i="4"/>
  <c r="C248" i="4"/>
  <c r="D247" i="4"/>
  <c r="C247" i="4"/>
  <c r="D246" i="4"/>
  <c r="C246" i="4"/>
  <c r="D245" i="4"/>
  <c r="C245" i="4"/>
  <c r="D244" i="4"/>
  <c r="C244" i="4"/>
  <c r="D243" i="4"/>
  <c r="C243" i="4"/>
  <c r="D242" i="4"/>
  <c r="C242" i="4"/>
  <c r="D241" i="4"/>
  <c r="C241" i="4"/>
  <c r="D240" i="4"/>
  <c r="C240" i="4"/>
  <c r="D239" i="4"/>
  <c r="C239" i="4"/>
  <c r="D238" i="4"/>
  <c r="C238" i="4"/>
  <c r="D237" i="4"/>
  <c r="C237" i="4"/>
  <c r="D236" i="4"/>
  <c r="C236" i="4"/>
  <c r="D235" i="4"/>
  <c r="C235" i="4"/>
  <c r="D234" i="4"/>
  <c r="C234" i="4"/>
  <c r="D233" i="4"/>
  <c r="C233" i="4"/>
  <c r="D232" i="4"/>
  <c r="C232" i="4"/>
  <c r="D231" i="4"/>
  <c r="C231" i="4"/>
  <c r="D230" i="4"/>
  <c r="C230" i="4"/>
  <c r="D229" i="4"/>
  <c r="C229" i="4"/>
  <c r="D228" i="4"/>
  <c r="C228" i="4"/>
  <c r="D227" i="4"/>
  <c r="C227" i="4"/>
  <c r="D226" i="4"/>
  <c r="C226" i="4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</calcChain>
</file>

<file path=xl/sharedStrings.xml><?xml version="1.0" encoding="utf-8"?>
<sst xmlns="http://schemas.openxmlformats.org/spreadsheetml/2006/main" count="35" uniqueCount="33">
  <si>
    <t>dav2021i_invalid_male_2ndorder.csv  --  input template</t>
  </si>
  <si>
    <t>What to do</t>
  </si>
  <si>
    <t>1.  Paste the recovery table into the sheet 'paste_RI' and the disabled mortality table into the sheet 'paste_TI'.  Both sheets keep the wide layout of the Tafelwerk: one row per attained age, one column per disability year.</t>
  </si>
  <si>
    <t>2.  Leave the grey cells empty.  They are structurally unreachable and are filled automatically; see 'The grey triangle' below.</t>
  </si>
  <si>
    <t>3.  The sheet 'invalid' assembles the long format the script expects and needs no editing.</t>
  </si>
  <si>
    <t>4.  With the sheet 'invalid' selected, save the workbook as CSV, name the file dav2021i_invalid_male_2ndorder.csv and put it in the directory 'data'.</t>
  </si>
  <si>
    <t>Where the numbers come from</t>
  </si>
  <si>
    <t>q   DAV 2021 I, Anhang 1 - Tafelwerk, table 'DAV 2021 TI - Invalidensterblichkeiten - Maenner', block '2. Ordnung', disability years 1, ..., 5, 6+, p. 118-119.</t>
  </si>
  <si>
    <t>Legend</t>
  </si>
  <si>
    <t>shaded  -  paste your values here</t>
  </si>
  <si>
    <t>age</t>
  </si>
  <si>
    <t>r_1</t>
  </si>
  <si>
    <t>r_2</t>
  </si>
  <si>
    <t>r_3</t>
  </si>
  <si>
    <t>r_4</t>
  </si>
  <si>
    <t>r_5</t>
  </si>
  <si>
    <t>r_6</t>
  </si>
  <si>
    <t>r_7</t>
  </si>
  <si>
    <t>r_8</t>
  </si>
  <si>
    <t>r_9</t>
  </si>
  <si>
    <t>r_10plus</t>
  </si>
  <si>
    <t>q_1</t>
  </si>
  <si>
    <t>q_2</t>
  </si>
  <si>
    <t>q_3</t>
  </si>
  <si>
    <t>q_4</t>
  </si>
  <si>
    <t>q_5</t>
  </si>
  <si>
    <t>q_6plus</t>
  </si>
  <si>
    <t>y</t>
  </si>
  <si>
    <t>r</t>
  </si>
  <si>
    <t>q</t>
  </si>
  <si>
    <t>r    DAV 2021 I, Anhang 1 - Tafelwerk, table 'DAV 2021 RI - Reaktivierungswahrscheinlichkeiten - Maenner', block '2. Ordnung', disability years 1, ..., 9, 10+, p. 109-110.</t>
  </si>
  <si>
    <t>grey       -  leave empty, structurally unreachable</t>
  </si>
  <si>
    <t>white     -  pre-filled or computed, do not 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</si>
</sst>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FFFFCC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164" fontId="4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zoomScale="145" zoomScaleNormal="145" workbookViewId="0">
      <selection activeCell="B24" sqref="B24"/>
    </sheetView>
  </sheetViews>
  <sheetFormatPr baseColWidth="10" defaultColWidth="8.6640625" defaultRowHeight="14.25" x14ac:dyDescent="0.45"/>
  <cols>
    <col min="1" max="1" width="5" customWidth="1"/>
    <col min="2" max="2" width="133.33203125" customWidth="1"/>
  </cols>
  <sheetData>
    <row r="1" spans="1:2" ht="15" customHeight="1" x14ac:dyDescent="0.45">
      <c r="B1" s="1" t="s">
        <v>0</v>
      </c>
    </row>
    <row r="2" spans="1:2" ht="15" customHeight="1" x14ac:dyDescent="0.45">
      <c r="B2" s="2"/>
    </row>
    <row r="3" spans="1:2" ht="15" customHeight="1" x14ac:dyDescent="0.45">
      <c r="B3" s="3" t="s">
        <v>1</v>
      </c>
    </row>
    <row r="4" spans="1:2" ht="25.5" x14ac:dyDescent="0.45">
      <c r="B4" s="2" t="s">
        <v>2</v>
      </c>
    </row>
    <row r="5" spans="1:2" x14ac:dyDescent="0.45">
      <c r="B5" s="2" t="s">
        <v>3</v>
      </c>
    </row>
    <row r="6" spans="1:2" ht="15" customHeight="1" x14ac:dyDescent="0.45">
      <c r="B6" s="2" t="s">
        <v>4</v>
      </c>
    </row>
    <row r="7" spans="1:2" x14ac:dyDescent="0.45">
      <c r="B7" s="2" t="s">
        <v>5</v>
      </c>
    </row>
    <row r="8" spans="1:2" ht="15" customHeight="1" x14ac:dyDescent="0.45">
      <c r="B8" s="2"/>
    </row>
    <row r="9" spans="1:2" ht="15" customHeight="1" x14ac:dyDescent="0.45">
      <c r="B9" s="3" t="s">
        <v>6</v>
      </c>
    </row>
    <row r="10" spans="1:2" x14ac:dyDescent="0.45">
      <c r="B10" s="2" t="s">
        <v>30</v>
      </c>
    </row>
    <row r="11" spans="1:2" x14ac:dyDescent="0.45">
      <c r="B11" s="2" t="s">
        <v>7</v>
      </c>
    </row>
    <row r="12" spans="1:2" ht="15" customHeight="1" x14ac:dyDescent="0.45">
      <c r="B12" s="2"/>
    </row>
    <row r="13" spans="1:2" ht="15" customHeight="1" x14ac:dyDescent="0.45">
      <c r="B13" s="3" t="s">
        <v>8</v>
      </c>
    </row>
    <row r="14" spans="1:2" ht="15" customHeight="1" x14ac:dyDescent="0.45">
      <c r="A14" s="4"/>
      <c r="B14" s="2" t="s">
        <v>9</v>
      </c>
    </row>
    <row r="15" spans="1:2" ht="15" customHeight="1" x14ac:dyDescent="0.45">
      <c r="A15" s="5"/>
      <c r="B15" s="2" t="s">
        <v>31</v>
      </c>
    </row>
    <row r="16" spans="1:2" ht="15" customHeight="1" x14ac:dyDescent="0.45">
      <c r="A16" s="6"/>
      <c r="B16" s="2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49" sqref="P49"/>
    </sheetView>
  </sheetViews>
  <sheetFormatPr baseColWidth="10" defaultColWidth="8.6640625" defaultRowHeight="14.25" x14ac:dyDescent="0.45"/>
  <cols>
    <col min="1" max="1" width="8" customWidth="1"/>
    <col min="2" max="11" width="11" customWidth="1"/>
  </cols>
  <sheetData>
    <row r="1" spans="1:11" ht="15" customHeight="1" x14ac:dyDescent="0.4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</row>
    <row r="2" spans="1:11" ht="15" customHeight="1" x14ac:dyDescent="0.45">
      <c r="A2" s="8">
        <v>15</v>
      </c>
      <c r="B2" s="9">
        <v>0.149392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5" customHeight="1" x14ac:dyDescent="0.45">
      <c r="A3" s="8">
        <v>16</v>
      </c>
      <c r="B3" s="9">
        <v>0.14854300000000001</v>
      </c>
      <c r="C3" s="9">
        <v>0.14854300000000001</v>
      </c>
      <c r="D3" s="10"/>
      <c r="E3" s="10"/>
      <c r="F3" s="10"/>
      <c r="G3" s="10"/>
      <c r="H3" s="10"/>
      <c r="I3" s="10"/>
      <c r="J3" s="10"/>
      <c r="K3" s="10"/>
    </row>
    <row r="4" spans="1:11" ht="15" customHeight="1" x14ac:dyDescent="0.45">
      <c r="A4" s="8">
        <v>17</v>
      </c>
      <c r="B4" s="9">
        <v>0.147899</v>
      </c>
      <c r="C4" s="9">
        <v>0.147899</v>
      </c>
      <c r="D4" s="9">
        <v>0.13086800000000001</v>
      </c>
      <c r="E4" s="10"/>
      <c r="F4" s="10"/>
      <c r="G4" s="10"/>
      <c r="H4" s="10"/>
      <c r="I4" s="10"/>
      <c r="J4" s="10"/>
      <c r="K4" s="10"/>
    </row>
    <row r="5" spans="1:11" ht="15" customHeight="1" x14ac:dyDescent="0.45">
      <c r="A5" s="8">
        <v>18</v>
      </c>
      <c r="B5" s="9">
        <v>0.14745800000000001</v>
      </c>
      <c r="C5" s="9">
        <v>0.14745800000000001</v>
      </c>
      <c r="D5" s="9">
        <v>0.12923200000000001</v>
      </c>
      <c r="E5" s="9">
        <v>0.14745800000000001</v>
      </c>
      <c r="F5" s="10"/>
      <c r="G5" s="10"/>
      <c r="H5" s="10"/>
      <c r="I5" s="10"/>
      <c r="J5" s="10"/>
      <c r="K5" s="10"/>
    </row>
    <row r="6" spans="1:11" ht="15" customHeight="1" x14ac:dyDescent="0.45">
      <c r="A6" s="8">
        <v>19</v>
      </c>
      <c r="B6" s="9">
        <v>0.14718100000000001</v>
      </c>
      <c r="C6" s="9">
        <v>0.14718100000000001</v>
      </c>
      <c r="D6" s="9">
        <v>0.127805</v>
      </c>
      <c r="E6" s="9">
        <v>0.14718100000000001</v>
      </c>
      <c r="F6" s="9">
        <v>0.14718100000000001</v>
      </c>
      <c r="G6" s="10"/>
      <c r="H6" s="10"/>
      <c r="I6" s="10"/>
      <c r="J6" s="10"/>
      <c r="K6" s="10"/>
    </row>
    <row r="7" spans="1:11" ht="15" customHeight="1" x14ac:dyDescent="0.45">
      <c r="A7" s="8">
        <v>20</v>
      </c>
      <c r="B7" s="9">
        <v>0.14722299999999999</v>
      </c>
      <c r="C7" s="9">
        <v>0.14722299999999999</v>
      </c>
      <c r="D7" s="9">
        <v>0.12656000000000001</v>
      </c>
      <c r="E7" s="9">
        <v>0.14722299999999999</v>
      </c>
      <c r="F7" s="9">
        <v>0.14722299999999999</v>
      </c>
      <c r="G7" s="9">
        <v>0.12656000000000001</v>
      </c>
      <c r="H7" s="10"/>
      <c r="I7" s="10"/>
      <c r="J7" s="10"/>
      <c r="K7" s="10"/>
    </row>
    <row r="8" spans="1:11" ht="15" customHeight="1" x14ac:dyDescent="0.45">
      <c r="A8" s="8">
        <v>21</v>
      </c>
      <c r="B8" s="9">
        <v>0.14735899999999999</v>
      </c>
      <c r="C8" s="9">
        <v>0.14735899999999999</v>
      </c>
      <c r="D8" s="9">
        <v>0.12560299999999999</v>
      </c>
      <c r="E8" s="9">
        <v>0.14735899999999999</v>
      </c>
      <c r="F8" s="9">
        <v>0.14735899999999999</v>
      </c>
      <c r="G8" s="9">
        <v>0.12560299999999999</v>
      </c>
      <c r="H8" s="9">
        <v>0.122367</v>
      </c>
      <c r="I8" s="10"/>
      <c r="J8" s="10"/>
      <c r="K8" s="10"/>
    </row>
    <row r="9" spans="1:11" ht="15" customHeight="1" x14ac:dyDescent="0.45">
      <c r="A9" s="8">
        <v>22</v>
      </c>
      <c r="B9" s="9">
        <v>0.14768000000000001</v>
      </c>
      <c r="C9" s="9">
        <v>0.14768000000000001</v>
      </c>
      <c r="D9" s="9">
        <v>0.124712</v>
      </c>
      <c r="E9" s="9">
        <v>0.14768000000000001</v>
      </c>
      <c r="F9" s="9">
        <v>0.14768000000000001</v>
      </c>
      <c r="G9" s="9">
        <v>0.124712</v>
      </c>
      <c r="H9" s="9">
        <v>0.117824</v>
      </c>
      <c r="I9" s="9">
        <v>6.8669999999999995E-2</v>
      </c>
      <c r="J9" s="10"/>
      <c r="K9" s="10"/>
    </row>
    <row r="10" spans="1:11" ht="15" customHeight="1" x14ac:dyDescent="0.45">
      <c r="A10" s="8">
        <v>23</v>
      </c>
      <c r="B10" s="9">
        <v>0.148233</v>
      </c>
      <c r="C10" s="9">
        <v>0.148233</v>
      </c>
      <c r="D10" s="9">
        <v>0.12404</v>
      </c>
      <c r="E10" s="9">
        <v>0.148233</v>
      </c>
      <c r="F10" s="9">
        <v>0.148233</v>
      </c>
      <c r="G10" s="9">
        <v>0.12404</v>
      </c>
      <c r="H10" s="9">
        <v>0.11289100000000001</v>
      </c>
      <c r="I10" s="9">
        <v>6.7712999999999995E-2</v>
      </c>
      <c r="J10" s="9">
        <v>6.7712999999999995E-2</v>
      </c>
      <c r="K10" s="10"/>
    </row>
    <row r="11" spans="1:11" ht="15" customHeight="1" x14ac:dyDescent="0.45">
      <c r="A11" s="8">
        <v>24</v>
      </c>
      <c r="B11" s="9">
        <v>0.14899699999999999</v>
      </c>
      <c r="C11" s="9">
        <v>0.14899699999999999</v>
      </c>
      <c r="D11" s="9">
        <v>0.123616</v>
      </c>
      <c r="E11" s="9">
        <v>0.14899699999999999</v>
      </c>
      <c r="F11" s="9">
        <v>0.14899699999999999</v>
      </c>
      <c r="G11" s="9">
        <v>0.123616</v>
      </c>
      <c r="H11" s="9">
        <v>0.10767699999999999</v>
      </c>
      <c r="I11" s="9">
        <v>6.6498000000000002E-2</v>
      </c>
      <c r="J11" s="9">
        <v>6.6498000000000002E-2</v>
      </c>
      <c r="K11" s="9">
        <v>4.9231999999999998E-2</v>
      </c>
    </row>
    <row r="12" spans="1:11" ht="15" customHeight="1" x14ac:dyDescent="0.45">
      <c r="A12" s="8">
        <v>25</v>
      </c>
      <c r="B12" s="9">
        <v>0.15001500000000001</v>
      </c>
      <c r="C12" s="9">
        <v>0.15001500000000001</v>
      </c>
      <c r="D12" s="9">
        <v>0.12339799999999999</v>
      </c>
      <c r="E12" s="9">
        <v>0.150008</v>
      </c>
      <c r="F12" s="9">
        <v>0.150008</v>
      </c>
      <c r="G12" s="9">
        <v>0.12339799999999999</v>
      </c>
      <c r="H12" s="9">
        <v>0.102033</v>
      </c>
      <c r="I12" s="9">
        <v>6.5087999999999993E-2</v>
      </c>
      <c r="J12" s="9">
        <v>6.5087999999999993E-2</v>
      </c>
      <c r="K12" s="9">
        <v>4.7419000000000003E-2</v>
      </c>
    </row>
    <row r="13" spans="1:11" ht="15" customHeight="1" x14ac:dyDescent="0.45">
      <c r="A13" s="8">
        <v>26</v>
      </c>
      <c r="B13" s="9">
        <v>0.15124699999999999</v>
      </c>
      <c r="C13" s="9">
        <v>0.15124699999999999</v>
      </c>
      <c r="D13" s="9">
        <v>0.123247</v>
      </c>
      <c r="E13" s="9">
        <v>0.14865100000000001</v>
      </c>
      <c r="F13" s="9">
        <v>0.14865100000000001</v>
      </c>
      <c r="G13" s="9">
        <v>0.123247</v>
      </c>
      <c r="H13" s="9">
        <v>9.6322000000000005E-2</v>
      </c>
      <c r="I13" s="9">
        <v>6.3271999999999995E-2</v>
      </c>
      <c r="J13" s="9">
        <v>6.3271999999999995E-2</v>
      </c>
      <c r="K13" s="9">
        <v>4.5377000000000001E-2</v>
      </c>
    </row>
    <row r="14" spans="1:11" ht="15" customHeight="1" x14ac:dyDescent="0.45">
      <c r="A14" s="8">
        <v>27</v>
      </c>
      <c r="B14" s="9">
        <v>0.15268799999999999</v>
      </c>
      <c r="C14" s="9">
        <v>0.15268799999999999</v>
      </c>
      <c r="D14" s="9">
        <v>0.122978</v>
      </c>
      <c r="E14" s="9">
        <v>0.14641799999999999</v>
      </c>
      <c r="F14" s="9">
        <v>0.14641799999999999</v>
      </c>
      <c r="G14" s="9">
        <v>0.116825</v>
      </c>
      <c r="H14" s="9">
        <v>9.0548000000000003E-2</v>
      </c>
      <c r="I14" s="9">
        <v>6.1401999999999998E-2</v>
      </c>
      <c r="J14" s="9">
        <v>6.1401999999999998E-2</v>
      </c>
      <c r="K14" s="9">
        <v>4.3166999999999997E-2</v>
      </c>
    </row>
    <row r="15" spans="1:11" ht="15" customHeight="1" x14ac:dyDescent="0.45">
      <c r="A15" s="8">
        <v>28</v>
      </c>
      <c r="B15" s="9">
        <v>0.154054</v>
      </c>
      <c r="C15" s="9">
        <v>0.154054</v>
      </c>
      <c r="D15" s="9">
        <v>0.122364</v>
      </c>
      <c r="E15" s="9">
        <v>0.14336199999999999</v>
      </c>
      <c r="F15" s="9">
        <v>0.14330899999999999</v>
      </c>
      <c r="G15" s="9">
        <v>0.109652</v>
      </c>
      <c r="H15" s="9">
        <v>8.4637000000000004E-2</v>
      </c>
      <c r="I15" s="9">
        <v>5.9399E-2</v>
      </c>
      <c r="J15" s="9">
        <v>5.9399E-2</v>
      </c>
      <c r="K15" s="9">
        <v>4.0709000000000002E-2</v>
      </c>
    </row>
    <row r="16" spans="1:11" ht="15" customHeight="1" x14ac:dyDescent="0.45">
      <c r="A16" s="8">
        <v>29</v>
      </c>
      <c r="B16" s="9">
        <v>0.15509400000000001</v>
      </c>
      <c r="C16" s="9">
        <v>0.15509400000000001</v>
      </c>
      <c r="D16" s="9">
        <v>0.121154</v>
      </c>
      <c r="E16" s="9">
        <v>0.13963800000000001</v>
      </c>
      <c r="F16" s="9">
        <v>0.13738800000000001</v>
      </c>
      <c r="G16" s="9">
        <v>0.102273</v>
      </c>
      <c r="H16" s="9">
        <v>7.8528000000000001E-2</v>
      </c>
      <c r="I16" s="9">
        <v>5.7188000000000003E-2</v>
      </c>
      <c r="J16" s="9">
        <v>5.7188000000000003E-2</v>
      </c>
      <c r="K16" s="9">
        <v>3.8224000000000001E-2</v>
      </c>
    </row>
    <row r="17" spans="1:11" ht="15" customHeight="1" x14ac:dyDescent="0.45">
      <c r="A17" s="8">
        <v>30</v>
      </c>
      <c r="B17" s="9">
        <v>0.15656</v>
      </c>
      <c r="C17" s="9">
        <v>0.15474399999999999</v>
      </c>
      <c r="D17" s="9">
        <v>0.119252</v>
      </c>
      <c r="E17" s="9">
        <v>0.135242</v>
      </c>
      <c r="F17" s="9">
        <v>0.131018</v>
      </c>
      <c r="G17" s="9">
        <v>9.4801999999999997E-2</v>
      </c>
      <c r="H17" s="9">
        <v>7.2371000000000005E-2</v>
      </c>
      <c r="I17" s="9">
        <v>5.4641000000000002E-2</v>
      </c>
      <c r="J17" s="9">
        <v>5.2533000000000003E-2</v>
      </c>
      <c r="K17" s="9">
        <v>3.5671000000000001E-2</v>
      </c>
    </row>
    <row r="18" spans="1:11" ht="15" customHeight="1" x14ac:dyDescent="0.45">
      <c r="A18" s="8">
        <v>31</v>
      </c>
      <c r="B18" s="9">
        <v>0.15853100000000001</v>
      </c>
      <c r="C18" s="9">
        <v>0.15235699999999999</v>
      </c>
      <c r="D18" s="9">
        <v>0.11665300000000001</v>
      </c>
      <c r="E18" s="9">
        <v>0.13037899999999999</v>
      </c>
      <c r="F18" s="9">
        <v>0.12413299999999999</v>
      </c>
      <c r="G18" s="9">
        <v>8.7305999999999995E-2</v>
      </c>
      <c r="H18" s="9">
        <v>6.6396999999999998E-2</v>
      </c>
      <c r="I18" s="9">
        <v>5.1825000000000003E-2</v>
      </c>
      <c r="J18" s="9">
        <v>4.725E-2</v>
      </c>
      <c r="K18" s="9">
        <v>3.3050999999999997E-2</v>
      </c>
    </row>
    <row r="19" spans="1:11" ht="15" customHeight="1" x14ac:dyDescent="0.45">
      <c r="A19" s="8">
        <v>32</v>
      </c>
      <c r="B19" s="9">
        <v>0.15954499999999999</v>
      </c>
      <c r="C19" s="9">
        <v>0.14959</v>
      </c>
      <c r="D19" s="9">
        <v>0.11350399999999999</v>
      </c>
      <c r="E19" s="9">
        <v>0.12509500000000001</v>
      </c>
      <c r="F19" s="9">
        <v>0.11672100000000001</v>
      </c>
      <c r="G19" s="9">
        <v>7.9929E-2</v>
      </c>
      <c r="H19" s="9">
        <v>6.0673999999999999E-2</v>
      </c>
      <c r="I19" s="9">
        <v>4.8830999999999999E-2</v>
      </c>
      <c r="J19" s="9">
        <v>4.2324000000000001E-2</v>
      </c>
      <c r="K19" s="9">
        <v>3.0342000000000001E-2</v>
      </c>
    </row>
    <row r="20" spans="1:11" ht="15" customHeight="1" x14ac:dyDescent="0.45">
      <c r="A20" s="8">
        <v>33</v>
      </c>
      <c r="B20" s="9">
        <v>0.159525</v>
      </c>
      <c r="C20" s="9">
        <v>0.146756</v>
      </c>
      <c r="D20" s="9">
        <v>0.10992399999999999</v>
      </c>
      <c r="E20" s="9">
        <v>0.119381</v>
      </c>
      <c r="F20" s="9">
        <v>0.108797</v>
      </c>
      <c r="G20" s="9">
        <v>7.2875999999999996E-2</v>
      </c>
      <c r="H20" s="9">
        <v>5.5252000000000002E-2</v>
      </c>
      <c r="I20" s="9">
        <v>4.5678999999999997E-2</v>
      </c>
      <c r="J20" s="9">
        <v>3.7719000000000003E-2</v>
      </c>
      <c r="K20" s="9">
        <v>2.7522000000000001E-2</v>
      </c>
    </row>
    <row r="21" spans="1:11" ht="15" customHeight="1" x14ac:dyDescent="0.45">
      <c r="A21" s="8">
        <v>34</v>
      </c>
      <c r="B21" s="9">
        <v>0.15848200000000001</v>
      </c>
      <c r="C21" s="9">
        <v>0.14383299999999999</v>
      </c>
      <c r="D21" s="9">
        <v>0.10581599999999999</v>
      </c>
      <c r="E21" s="9">
        <v>0.113235</v>
      </c>
      <c r="F21" s="9">
        <v>0.10059800000000001</v>
      </c>
      <c r="G21" s="9">
        <v>6.6278000000000004E-2</v>
      </c>
      <c r="H21" s="9">
        <v>5.0188999999999998E-2</v>
      </c>
      <c r="I21" s="9">
        <v>4.2458000000000003E-2</v>
      </c>
      <c r="J21" s="9">
        <v>3.3444000000000002E-2</v>
      </c>
      <c r="K21" s="9">
        <v>2.4667000000000001E-2</v>
      </c>
    </row>
    <row r="22" spans="1:11" ht="15" customHeight="1" x14ac:dyDescent="0.45">
      <c r="A22" s="8">
        <v>35</v>
      </c>
      <c r="B22" s="9">
        <v>0.15668799999999999</v>
      </c>
      <c r="C22" s="9">
        <v>0.14094300000000001</v>
      </c>
      <c r="D22" s="9">
        <v>0.101202</v>
      </c>
      <c r="E22" s="9">
        <v>0.106674</v>
      </c>
      <c r="F22" s="9">
        <v>9.2353000000000005E-2</v>
      </c>
      <c r="G22" s="9">
        <v>6.0220000000000003E-2</v>
      </c>
      <c r="H22" s="9">
        <v>4.5552000000000002E-2</v>
      </c>
      <c r="I22" s="9">
        <v>3.9274999999999997E-2</v>
      </c>
      <c r="J22" s="9">
        <v>2.955E-2</v>
      </c>
      <c r="K22" s="9">
        <v>2.1895000000000001E-2</v>
      </c>
    </row>
    <row r="23" spans="1:11" ht="15" customHeight="1" x14ac:dyDescent="0.45">
      <c r="A23" s="8">
        <v>36</v>
      </c>
      <c r="B23" s="9">
        <v>0.154247</v>
      </c>
      <c r="C23" s="9">
        <v>0.138159</v>
      </c>
      <c r="D23" s="9">
        <v>9.6225000000000005E-2</v>
      </c>
      <c r="E23" s="9">
        <v>9.9708000000000005E-2</v>
      </c>
      <c r="F23" s="9">
        <v>8.4289000000000003E-2</v>
      </c>
      <c r="G23" s="9">
        <v>5.4815999999999997E-2</v>
      </c>
      <c r="H23" s="9">
        <v>4.1315999999999999E-2</v>
      </c>
      <c r="I23" s="9">
        <v>3.6221000000000003E-2</v>
      </c>
      <c r="J23" s="9">
        <v>2.6113000000000001E-2</v>
      </c>
      <c r="K23" s="9">
        <v>1.9268E-2</v>
      </c>
    </row>
    <row r="24" spans="1:11" ht="15" customHeight="1" x14ac:dyDescent="0.45">
      <c r="A24" s="8">
        <v>37</v>
      </c>
      <c r="B24" s="9">
        <v>0.151029</v>
      </c>
      <c r="C24" s="9">
        <v>0.135522</v>
      </c>
      <c r="D24" s="9">
        <v>9.1086E-2</v>
      </c>
      <c r="E24" s="9">
        <v>9.2235999999999999E-2</v>
      </c>
      <c r="F24" s="9">
        <v>7.6499999999999999E-2</v>
      </c>
      <c r="G24" s="9">
        <v>5.0118000000000003E-2</v>
      </c>
      <c r="H24" s="9">
        <v>3.7470999999999997E-2</v>
      </c>
      <c r="I24" s="9">
        <v>3.3321000000000003E-2</v>
      </c>
      <c r="J24" s="9">
        <v>2.3203999999999999E-2</v>
      </c>
      <c r="K24" s="9">
        <v>1.6778000000000001E-2</v>
      </c>
    </row>
    <row r="25" spans="1:11" ht="15" customHeight="1" x14ac:dyDescent="0.45">
      <c r="A25" s="8">
        <v>38</v>
      </c>
      <c r="B25" s="9">
        <v>0.14699599999999999</v>
      </c>
      <c r="C25" s="9">
        <v>0.13286500000000001</v>
      </c>
      <c r="D25" s="9">
        <v>8.6238999999999996E-2</v>
      </c>
      <c r="E25" s="9">
        <v>8.4515000000000007E-2</v>
      </c>
      <c r="F25" s="9">
        <v>6.9136000000000003E-2</v>
      </c>
      <c r="G25" s="9">
        <v>4.6015E-2</v>
      </c>
      <c r="H25" s="9">
        <v>3.3992000000000001E-2</v>
      </c>
      <c r="I25" s="9">
        <v>3.0564999999999998E-2</v>
      </c>
      <c r="J25" s="9">
        <v>2.0797E-2</v>
      </c>
      <c r="K25" s="9">
        <v>1.4572999999999999E-2</v>
      </c>
    </row>
    <row r="26" spans="1:11" ht="15" customHeight="1" x14ac:dyDescent="0.45">
      <c r="A26" s="8">
        <v>39</v>
      </c>
      <c r="B26" s="9">
        <v>0.142344</v>
      </c>
      <c r="C26" s="9">
        <v>0.13011800000000001</v>
      </c>
      <c r="D26" s="9">
        <v>8.1739999999999993E-2</v>
      </c>
      <c r="E26" s="9">
        <v>7.6943999999999999E-2</v>
      </c>
      <c r="F26" s="9">
        <v>6.2324999999999998E-2</v>
      </c>
      <c r="G26" s="9">
        <v>4.2284000000000002E-2</v>
      </c>
      <c r="H26" s="9">
        <v>3.0814999999999999E-2</v>
      </c>
      <c r="I26" s="9">
        <v>2.7876999999999999E-2</v>
      </c>
      <c r="J26" s="9">
        <v>1.8839999999999999E-2</v>
      </c>
      <c r="K26" s="9">
        <v>1.2695E-2</v>
      </c>
    </row>
    <row r="27" spans="1:11" ht="15" customHeight="1" x14ac:dyDescent="0.45">
      <c r="A27" s="8">
        <v>40</v>
      </c>
      <c r="B27" s="9">
        <v>0.137295</v>
      </c>
      <c r="C27" s="9">
        <v>0.127363</v>
      </c>
      <c r="D27" s="9">
        <v>7.7403E-2</v>
      </c>
      <c r="E27" s="9">
        <v>6.9685999999999998E-2</v>
      </c>
      <c r="F27" s="9">
        <v>5.6096E-2</v>
      </c>
      <c r="G27" s="9">
        <v>3.8746000000000003E-2</v>
      </c>
      <c r="H27" s="9">
        <v>2.7883000000000002E-2</v>
      </c>
      <c r="I27" s="9">
        <v>2.5238E-2</v>
      </c>
      <c r="J27" s="9">
        <v>1.7271000000000002E-2</v>
      </c>
      <c r="K27" s="9">
        <v>1.1158E-2</v>
      </c>
    </row>
    <row r="28" spans="1:11" ht="15" customHeight="1" x14ac:dyDescent="0.45">
      <c r="A28" s="8">
        <v>41</v>
      </c>
      <c r="B28" s="9">
        <v>0.13205800000000001</v>
      </c>
      <c r="C28" s="9">
        <v>0.124156</v>
      </c>
      <c r="D28" s="9">
        <v>7.3053000000000007E-2</v>
      </c>
      <c r="E28" s="9">
        <v>6.2719999999999998E-2</v>
      </c>
      <c r="F28" s="9">
        <v>5.0458999999999997E-2</v>
      </c>
      <c r="G28" s="9">
        <v>3.5352000000000001E-2</v>
      </c>
      <c r="H28" s="9">
        <v>2.5211999999999998E-2</v>
      </c>
      <c r="I28" s="9">
        <v>2.2744E-2</v>
      </c>
      <c r="J28" s="9">
        <v>1.6004999999999998E-2</v>
      </c>
      <c r="K28" s="9">
        <v>9.8410000000000008E-3</v>
      </c>
    </row>
    <row r="29" spans="1:11" ht="15" customHeight="1" x14ac:dyDescent="0.45">
      <c r="A29" s="8">
        <v>42</v>
      </c>
      <c r="B29" s="9">
        <v>0.12690899999999999</v>
      </c>
      <c r="C29" s="9">
        <v>0.120321</v>
      </c>
      <c r="D29" s="9">
        <v>6.8565000000000001E-2</v>
      </c>
      <c r="E29" s="9">
        <v>5.6120000000000003E-2</v>
      </c>
      <c r="F29" s="9">
        <v>4.5282999999999997E-2</v>
      </c>
      <c r="G29" s="9">
        <v>3.2024999999999998E-2</v>
      </c>
      <c r="H29" s="9">
        <v>2.2828999999999999E-2</v>
      </c>
      <c r="I29" s="9">
        <v>2.0417000000000001E-2</v>
      </c>
      <c r="J29" s="9">
        <v>1.4942E-2</v>
      </c>
      <c r="K29" s="9">
        <v>8.7279999999999996E-3</v>
      </c>
    </row>
    <row r="30" spans="1:11" ht="15" customHeight="1" x14ac:dyDescent="0.45">
      <c r="A30" s="8">
        <v>43</v>
      </c>
      <c r="B30" s="9">
        <v>0.12174</v>
      </c>
      <c r="C30" s="9">
        <v>0.11601</v>
      </c>
      <c r="D30" s="9">
        <v>6.3700000000000007E-2</v>
      </c>
      <c r="E30" s="9">
        <v>4.9841999999999997E-2</v>
      </c>
      <c r="F30" s="9">
        <v>4.0455999999999999E-2</v>
      </c>
      <c r="G30" s="9">
        <v>2.8788999999999999E-2</v>
      </c>
      <c r="H30" s="9">
        <v>2.0737999999999999E-2</v>
      </c>
      <c r="I30" s="9">
        <v>1.8211000000000001E-2</v>
      </c>
      <c r="J30" s="9">
        <v>1.3958999999999999E-2</v>
      </c>
      <c r="K30" s="9">
        <v>7.7419999999999998E-3</v>
      </c>
    </row>
    <row r="31" spans="1:11" ht="15" customHeight="1" x14ac:dyDescent="0.45">
      <c r="A31" s="8">
        <v>44</v>
      </c>
      <c r="B31" s="9">
        <v>0.11665200000000001</v>
      </c>
      <c r="C31" s="9">
        <v>0.111378</v>
      </c>
      <c r="D31" s="9">
        <v>5.8686000000000002E-2</v>
      </c>
      <c r="E31" s="9">
        <v>4.3982E-2</v>
      </c>
      <c r="F31" s="9">
        <v>3.5951999999999998E-2</v>
      </c>
      <c r="G31" s="9">
        <v>2.5692E-2</v>
      </c>
      <c r="H31" s="9">
        <v>1.8915999999999999E-2</v>
      </c>
      <c r="I31" s="9">
        <v>1.6218E-2</v>
      </c>
      <c r="J31" s="9">
        <v>1.3002E-2</v>
      </c>
      <c r="K31" s="9">
        <v>6.9829999999999996E-3</v>
      </c>
    </row>
    <row r="32" spans="1:11" ht="15" customHeight="1" x14ac:dyDescent="0.45">
      <c r="A32" s="8">
        <v>45</v>
      </c>
      <c r="B32" s="9">
        <v>0.111612</v>
      </c>
      <c r="C32" s="9">
        <v>0.10646600000000001</v>
      </c>
      <c r="D32" s="9">
        <v>5.3650999999999997E-2</v>
      </c>
      <c r="E32" s="9">
        <v>3.8781000000000003E-2</v>
      </c>
      <c r="F32" s="9">
        <v>3.1718000000000003E-2</v>
      </c>
      <c r="G32" s="9">
        <v>2.2780999999999999E-2</v>
      </c>
      <c r="H32" s="9">
        <v>1.7194000000000001E-2</v>
      </c>
      <c r="I32" s="9">
        <v>1.4470999999999999E-2</v>
      </c>
      <c r="J32" s="9">
        <v>1.2034E-2</v>
      </c>
      <c r="K32" s="9">
        <v>6.4640000000000001E-3</v>
      </c>
    </row>
    <row r="33" spans="1:11" ht="15" customHeight="1" x14ac:dyDescent="0.45">
      <c r="A33" s="8">
        <v>46</v>
      </c>
      <c r="B33" s="9">
        <v>0.106348</v>
      </c>
      <c r="C33" s="9">
        <v>0.100979</v>
      </c>
      <c r="D33" s="9">
        <v>4.8758000000000003E-2</v>
      </c>
      <c r="E33" s="9">
        <v>3.4257999999999997E-2</v>
      </c>
      <c r="F33" s="9">
        <v>2.7598999999999999E-2</v>
      </c>
      <c r="G33" s="9">
        <v>1.9997999999999998E-2</v>
      </c>
      <c r="H33" s="9">
        <v>1.558E-2</v>
      </c>
      <c r="I33" s="9">
        <v>1.2845000000000001E-2</v>
      </c>
      <c r="J33" s="9">
        <v>1.1027E-2</v>
      </c>
      <c r="K33" s="9">
        <v>6.0390000000000001E-3</v>
      </c>
    </row>
    <row r="34" spans="1:11" ht="15" customHeight="1" x14ac:dyDescent="0.45">
      <c r="A34" s="8">
        <v>47</v>
      </c>
      <c r="B34" s="9">
        <v>0.10057199999999999</v>
      </c>
      <c r="C34" s="9">
        <v>9.5214999999999994E-2</v>
      </c>
      <c r="D34" s="9">
        <v>4.4094000000000001E-2</v>
      </c>
      <c r="E34" s="9">
        <v>3.0317E-2</v>
      </c>
      <c r="F34" s="9">
        <v>2.3777E-2</v>
      </c>
      <c r="G34" s="9">
        <v>1.7299999999999999E-2</v>
      </c>
      <c r="H34" s="9">
        <v>1.4024999999999999E-2</v>
      </c>
      <c r="I34" s="9">
        <v>1.1296E-2</v>
      </c>
      <c r="J34" s="9">
        <v>9.9240000000000005E-3</v>
      </c>
      <c r="K34" s="9">
        <v>5.6499999999999996E-3</v>
      </c>
    </row>
    <row r="35" spans="1:11" ht="15" customHeight="1" x14ac:dyDescent="0.45">
      <c r="A35" s="8">
        <v>48</v>
      </c>
      <c r="B35" s="9">
        <v>9.4576999999999994E-2</v>
      </c>
      <c r="C35" s="9">
        <v>8.9326000000000003E-2</v>
      </c>
      <c r="D35" s="9">
        <v>3.9743000000000001E-2</v>
      </c>
      <c r="E35" s="9">
        <v>2.6752999999999999E-2</v>
      </c>
      <c r="F35" s="9">
        <v>2.0322E-2</v>
      </c>
      <c r="G35" s="9">
        <v>1.4801999999999999E-2</v>
      </c>
      <c r="H35" s="9">
        <v>1.2501E-2</v>
      </c>
      <c r="I35" s="9">
        <v>9.8849999999999997E-3</v>
      </c>
      <c r="J35" s="9">
        <v>8.7760000000000008E-3</v>
      </c>
      <c r="K35" s="9">
        <v>5.2339999999999999E-3</v>
      </c>
    </row>
    <row r="36" spans="1:11" ht="15" customHeight="1" x14ac:dyDescent="0.45">
      <c r="A36" s="8">
        <v>49</v>
      </c>
      <c r="B36" s="9">
        <v>8.8478000000000001E-2</v>
      </c>
      <c r="C36" s="9">
        <v>8.2901000000000002E-2</v>
      </c>
      <c r="D36" s="9">
        <v>3.5837000000000001E-2</v>
      </c>
      <c r="E36" s="9">
        <v>2.3446000000000002E-2</v>
      </c>
      <c r="F36" s="9">
        <v>1.7235E-2</v>
      </c>
      <c r="G36" s="9">
        <v>1.252E-2</v>
      </c>
      <c r="H36" s="9">
        <v>1.1088000000000001E-2</v>
      </c>
      <c r="I36" s="9">
        <v>8.5459999999999998E-3</v>
      </c>
      <c r="J36" s="9">
        <v>7.6449999999999999E-3</v>
      </c>
      <c r="K36" s="9">
        <v>4.8479999999999999E-3</v>
      </c>
    </row>
    <row r="37" spans="1:11" ht="15" customHeight="1" x14ac:dyDescent="0.45">
      <c r="A37" s="8">
        <v>50</v>
      </c>
      <c r="B37" s="9">
        <v>8.2244999999999999E-2</v>
      </c>
      <c r="C37" s="9">
        <v>7.6066999999999996E-2</v>
      </c>
      <c r="D37" s="9">
        <v>3.2226999999999999E-2</v>
      </c>
      <c r="E37" s="9">
        <v>2.0407000000000002E-2</v>
      </c>
      <c r="F37" s="9">
        <v>1.4557E-2</v>
      </c>
      <c r="G37" s="9">
        <v>1.0529E-2</v>
      </c>
      <c r="H37" s="9">
        <v>9.7470000000000005E-3</v>
      </c>
      <c r="I37" s="9">
        <v>7.3109999999999998E-3</v>
      </c>
      <c r="J37" s="9">
        <v>6.5459999999999997E-3</v>
      </c>
      <c r="K37" s="9">
        <v>4.4990000000000004E-3</v>
      </c>
    </row>
    <row r="38" spans="1:11" ht="15" customHeight="1" x14ac:dyDescent="0.45">
      <c r="A38" s="8">
        <v>51</v>
      </c>
      <c r="B38" s="9">
        <v>7.5819999999999999E-2</v>
      </c>
      <c r="C38" s="9">
        <v>6.8792000000000006E-2</v>
      </c>
      <c r="D38" s="9">
        <v>2.8639999999999999E-2</v>
      </c>
      <c r="E38" s="9">
        <v>1.7586000000000001E-2</v>
      </c>
      <c r="F38" s="9">
        <v>1.2244E-2</v>
      </c>
      <c r="G38" s="9">
        <v>8.8590000000000006E-3</v>
      </c>
      <c r="H38" s="9">
        <v>8.5019999999999991E-3</v>
      </c>
      <c r="I38" s="9">
        <v>6.2100000000000002E-3</v>
      </c>
      <c r="J38" s="9">
        <v>5.5059999999999996E-3</v>
      </c>
      <c r="K38" s="9">
        <v>4.0410000000000003E-3</v>
      </c>
    </row>
    <row r="39" spans="1:11" ht="15" customHeight="1" x14ac:dyDescent="0.45">
      <c r="A39" s="8">
        <v>52</v>
      </c>
      <c r="B39" s="9">
        <v>6.9099999999999995E-2</v>
      </c>
      <c r="C39" s="9">
        <v>6.1409999999999999E-2</v>
      </c>
      <c r="D39" s="9">
        <v>2.5086000000000001E-2</v>
      </c>
      <c r="E39" s="9">
        <v>1.5077999999999999E-2</v>
      </c>
      <c r="F39" s="9">
        <v>1.0207000000000001E-2</v>
      </c>
      <c r="G39" s="9">
        <v>7.5380000000000004E-3</v>
      </c>
      <c r="H39" s="9">
        <v>7.3400000000000002E-3</v>
      </c>
      <c r="I39" s="9">
        <v>5.2459999999999998E-3</v>
      </c>
      <c r="J39" s="9">
        <v>4.5519999999999996E-3</v>
      </c>
      <c r="K39" s="9">
        <v>3.4889999999999999E-3</v>
      </c>
    </row>
    <row r="40" spans="1:11" ht="15" customHeight="1" x14ac:dyDescent="0.45">
      <c r="A40" s="8">
        <v>53</v>
      </c>
      <c r="B40" s="9">
        <v>6.2189000000000001E-2</v>
      </c>
      <c r="C40" s="9">
        <v>5.4200999999999999E-2</v>
      </c>
      <c r="D40" s="9">
        <v>2.1677999999999999E-2</v>
      </c>
      <c r="E40" s="9">
        <v>1.2826000000000001E-2</v>
      </c>
      <c r="F40" s="9">
        <v>8.5190000000000005E-3</v>
      </c>
      <c r="G40" s="9">
        <v>6.5539999999999999E-3</v>
      </c>
      <c r="H40" s="9">
        <v>6.2529999999999999E-3</v>
      </c>
      <c r="I40" s="9">
        <v>4.45E-3</v>
      </c>
      <c r="J40" s="9">
        <v>3.715E-3</v>
      </c>
      <c r="K40" s="9">
        <v>2.954E-3</v>
      </c>
    </row>
    <row r="41" spans="1:11" ht="15" customHeight="1" x14ac:dyDescent="0.45">
      <c r="A41" s="8">
        <v>54</v>
      </c>
      <c r="B41" s="9">
        <v>5.5530999999999997E-2</v>
      </c>
      <c r="C41" s="9">
        <v>4.7266000000000002E-2</v>
      </c>
      <c r="D41" s="9">
        <v>1.8491E-2</v>
      </c>
      <c r="E41" s="9">
        <v>1.0710000000000001E-2</v>
      </c>
      <c r="F41" s="9">
        <v>7.1120000000000003E-3</v>
      </c>
      <c r="G41" s="9">
        <v>5.8399999999999997E-3</v>
      </c>
      <c r="H41" s="9">
        <v>5.2379999999999996E-3</v>
      </c>
      <c r="I41" s="9">
        <v>3.8289999999999999E-3</v>
      </c>
      <c r="J41" s="9">
        <v>3.0200000000000001E-3</v>
      </c>
      <c r="K41" s="9">
        <v>2.5409999999999999E-3</v>
      </c>
    </row>
    <row r="42" spans="1:11" ht="15" customHeight="1" x14ac:dyDescent="0.45">
      <c r="A42" s="8">
        <v>55</v>
      </c>
      <c r="B42" s="9">
        <v>4.9502999999999998E-2</v>
      </c>
      <c r="C42" s="9">
        <v>4.0762E-2</v>
      </c>
      <c r="D42" s="9">
        <v>1.5517E-2</v>
      </c>
      <c r="E42" s="9">
        <v>8.7379999999999992E-3</v>
      </c>
      <c r="F42" s="9">
        <v>5.842E-3</v>
      </c>
      <c r="G42" s="9">
        <v>5.2630000000000003E-3</v>
      </c>
      <c r="H42" s="9">
        <v>4.3030000000000004E-3</v>
      </c>
      <c r="I42" s="9">
        <v>3.3419999999999999E-3</v>
      </c>
      <c r="J42" s="9">
        <v>2.4520000000000002E-3</v>
      </c>
      <c r="K42" s="9">
        <v>2.1970000000000002E-3</v>
      </c>
    </row>
    <row r="43" spans="1:11" ht="15" customHeight="1" x14ac:dyDescent="0.45">
      <c r="A43" s="8">
        <v>56</v>
      </c>
      <c r="B43" s="9">
        <v>4.3880000000000002E-2</v>
      </c>
      <c r="C43" s="9">
        <v>3.4654999999999998E-2</v>
      </c>
      <c r="D43" s="9">
        <v>1.2727E-2</v>
      </c>
      <c r="E43" s="9">
        <v>6.8739999999999999E-3</v>
      </c>
      <c r="F43" s="9">
        <v>4.7289999999999997E-3</v>
      </c>
      <c r="G43" s="9">
        <v>4.7289999999999997E-3</v>
      </c>
      <c r="H43" s="9">
        <v>3.4710000000000001E-3</v>
      </c>
      <c r="I43" s="9">
        <v>2.98E-3</v>
      </c>
      <c r="J43" s="9">
        <v>2.0079999999999998E-3</v>
      </c>
      <c r="K43" s="9">
        <v>1.866E-3</v>
      </c>
    </row>
    <row r="44" spans="1:11" ht="15" customHeight="1" x14ac:dyDescent="0.45">
      <c r="A44" s="8">
        <v>57</v>
      </c>
      <c r="B44" s="9">
        <v>3.8411000000000001E-2</v>
      </c>
      <c r="C44" s="9">
        <v>2.8759E-2</v>
      </c>
      <c r="D44" s="9">
        <v>9.9869999999999994E-3</v>
      </c>
      <c r="E44" s="9">
        <v>5.1279999999999997E-3</v>
      </c>
      <c r="F44" s="9">
        <v>3.738E-3</v>
      </c>
      <c r="G44" s="9">
        <v>3.738E-3</v>
      </c>
      <c r="H44" s="9">
        <v>2.7409999999999999E-3</v>
      </c>
      <c r="I44" s="9">
        <v>2.7409999999999999E-3</v>
      </c>
      <c r="J44" s="9">
        <v>1.6770000000000001E-3</v>
      </c>
      <c r="K44" s="9">
        <v>1.5889999999999999E-3</v>
      </c>
    </row>
    <row r="45" spans="1:11" ht="15" customHeight="1" x14ac:dyDescent="0.45">
      <c r="A45" s="8">
        <v>58</v>
      </c>
      <c r="B45" s="9">
        <v>3.2912999999999998E-2</v>
      </c>
      <c r="C45" s="9">
        <v>2.2915000000000001E-2</v>
      </c>
      <c r="D45" s="9">
        <v>7.267E-3</v>
      </c>
      <c r="E45" s="9">
        <v>3.4940000000000001E-3</v>
      </c>
      <c r="F45" s="9">
        <v>2.8540000000000002E-3</v>
      </c>
      <c r="G45" s="9">
        <v>2.8540000000000002E-3</v>
      </c>
      <c r="H45" s="9">
        <v>2.1080000000000001E-3</v>
      </c>
      <c r="I45" s="9">
        <v>2.1080000000000001E-3</v>
      </c>
      <c r="J45" s="9">
        <v>1.428E-3</v>
      </c>
      <c r="K45" s="9">
        <v>1.41E-3</v>
      </c>
    </row>
    <row r="46" spans="1:11" ht="15" customHeight="1" x14ac:dyDescent="0.45">
      <c r="A46" s="8">
        <v>59</v>
      </c>
      <c r="B46" s="9">
        <v>2.7297999999999999E-2</v>
      </c>
      <c r="C46" s="9">
        <v>1.7048000000000001E-2</v>
      </c>
      <c r="D46" s="9">
        <v>4.535E-3</v>
      </c>
      <c r="E46" s="9">
        <v>1.9220000000000001E-3</v>
      </c>
      <c r="F46" s="9">
        <v>1.9220000000000001E-3</v>
      </c>
      <c r="G46" s="9">
        <v>1.9220000000000001E-3</v>
      </c>
      <c r="H46" s="9">
        <v>1.542E-3</v>
      </c>
      <c r="I46" s="9">
        <v>1.542E-3</v>
      </c>
      <c r="J46" s="9">
        <v>1.2359999999999999E-3</v>
      </c>
      <c r="K46" s="9">
        <v>1.2359999999999999E-3</v>
      </c>
    </row>
    <row r="47" spans="1:11" ht="15" customHeight="1" x14ac:dyDescent="0.45">
      <c r="A47" s="8">
        <v>60</v>
      </c>
      <c r="B47" s="9">
        <v>2.2773999999999999E-2</v>
      </c>
      <c r="C47" s="9">
        <v>1.2961E-2</v>
      </c>
      <c r="D47" s="9">
        <v>3.114E-3</v>
      </c>
      <c r="E47" s="9">
        <v>1.2459999999999999E-3</v>
      </c>
      <c r="F47" s="9">
        <v>1.2459999999999999E-3</v>
      </c>
      <c r="G47" s="9">
        <v>1.2459999999999999E-3</v>
      </c>
      <c r="H47" s="9">
        <v>1.1379999999999999E-3</v>
      </c>
      <c r="I47" s="9">
        <v>1.1379999999999999E-3</v>
      </c>
      <c r="J47" s="9">
        <v>1.1379999999999999E-3</v>
      </c>
      <c r="K47" s="9">
        <v>1.1379999999999999E-3</v>
      </c>
    </row>
    <row r="48" spans="1:11" ht="15" customHeight="1" x14ac:dyDescent="0.45">
      <c r="A48" s="8">
        <v>61</v>
      </c>
      <c r="B48" s="9">
        <v>1.8543E-2</v>
      </c>
      <c r="C48" s="9">
        <v>9.3539999999999995E-3</v>
      </c>
      <c r="D48" s="9">
        <v>1.897E-3</v>
      </c>
      <c r="E48" s="9">
        <v>6.8199999999999999E-4</v>
      </c>
      <c r="F48" s="9">
        <v>6.8199999999999999E-4</v>
      </c>
      <c r="G48" s="9">
        <v>6.8199999999999999E-4</v>
      </c>
      <c r="H48" s="9">
        <v>6.8199999999999999E-4</v>
      </c>
      <c r="I48" s="9">
        <v>6.8199999999999999E-4</v>
      </c>
      <c r="J48" s="9">
        <v>6.8199999999999999E-4</v>
      </c>
      <c r="K48" s="9">
        <v>6.8199999999999999E-4</v>
      </c>
    </row>
    <row r="49" spans="1:11" ht="15" customHeight="1" x14ac:dyDescent="0.45">
      <c r="A49" s="8">
        <v>62</v>
      </c>
      <c r="B49" s="9">
        <v>1.4851E-2</v>
      </c>
      <c r="C49" s="9">
        <v>6.5389999999999997E-3</v>
      </c>
      <c r="D49" s="9">
        <v>1.0920000000000001E-3</v>
      </c>
      <c r="E49" s="9">
        <v>3.48E-4</v>
      </c>
      <c r="F49" s="9">
        <v>3.48E-4</v>
      </c>
      <c r="G49" s="9">
        <v>3.48E-4</v>
      </c>
      <c r="H49" s="9">
        <v>3.48E-4</v>
      </c>
      <c r="I49" s="9">
        <v>3.48E-4</v>
      </c>
      <c r="J49" s="9">
        <v>3.48E-4</v>
      </c>
      <c r="K49" s="9">
        <v>3.48E-4</v>
      </c>
    </row>
    <row r="50" spans="1:11" ht="15" customHeight="1" x14ac:dyDescent="0.45">
      <c r="A50" s="8">
        <v>63</v>
      </c>
      <c r="B50" s="9">
        <v>1.1698999999999999E-2</v>
      </c>
      <c r="C50" s="9">
        <v>4.4289999999999998E-3</v>
      </c>
      <c r="D50" s="9">
        <v>5.9299999999999999E-4</v>
      </c>
      <c r="E50" s="9">
        <v>1.65E-4</v>
      </c>
      <c r="F50" s="9">
        <v>1.65E-4</v>
      </c>
      <c r="G50" s="9">
        <v>1.65E-4</v>
      </c>
      <c r="H50" s="9">
        <v>1.65E-4</v>
      </c>
      <c r="I50" s="9">
        <v>1.65E-4</v>
      </c>
      <c r="J50" s="9">
        <v>1.65E-4</v>
      </c>
      <c r="K50" s="9">
        <v>1.65E-4</v>
      </c>
    </row>
    <row r="51" spans="1:11" ht="15" customHeight="1" x14ac:dyDescent="0.45">
      <c r="A51" s="8">
        <v>64</v>
      </c>
      <c r="B51" s="9">
        <v>9.0650000000000001E-3</v>
      </c>
      <c r="C51" s="9">
        <v>2.905E-3</v>
      </c>
      <c r="D51" s="9">
        <v>3.0499999999999999E-4</v>
      </c>
      <c r="E51" s="9">
        <v>7.2999999999999999E-5</v>
      </c>
      <c r="F51" s="9">
        <v>7.2999999999999999E-5</v>
      </c>
      <c r="G51" s="9">
        <v>7.2999999999999999E-5</v>
      </c>
      <c r="H51" s="9">
        <v>7.2999999999999999E-5</v>
      </c>
      <c r="I51" s="9">
        <v>7.2999999999999999E-5</v>
      </c>
      <c r="J51" s="9">
        <v>7.2999999999999999E-5</v>
      </c>
      <c r="K51" s="9">
        <v>7.2999999999999999E-5</v>
      </c>
    </row>
    <row r="52" spans="1:11" ht="15" customHeight="1" x14ac:dyDescent="0.45">
      <c r="A52" s="8">
        <v>65</v>
      </c>
      <c r="B52" s="9">
        <v>6.9100000000000003E-3</v>
      </c>
      <c r="C52" s="9">
        <v>1.8469999999999999E-3</v>
      </c>
      <c r="D52" s="9">
        <v>1.4799999999999999E-4</v>
      </c>
      <c r="E52" s="9">
        <v>3.0000000000000001E-5</v>
      </c>
      <c r="F52" s="9">
        <v>3.0000000000000001E-5</v>
      </c>
      <c r="G52" s="9">
        <v>3.0000000000000001E-5</v>
      </c>
      <c r="H52" s="9">
        <v>3.0000000000000001E-5</v>
      </c>
      <c r="I52" s="9">
        <v>3.0000000000000001E-5</v>
      </c>
      <c r="J52" s="9">
        <v>3.0000000000000001E-5</v>
      </c>
      <c r="K52" s="9">
        <v>3.0000000000000001E-5</v>
      </c>
    </row>
    <row r="53" spans="1:11" ht="15" customHeight="1" x14ac:dyDescent="0.45">
      <c r="A53" s="8">
        <v>66</v>
      </c>
      <c r="B53" s="9">
        <v>5.1809999999999998E-3</v>
      </c>
      <c r="C53" s="9">
        <v>1.137E-3</v>
      </c>
      <c r="D53" s="9">
        <v>6.7999999999999999E-5</v>
      </c>
      <c r="E53" s="9">
        <v>1.2E-5</v>
      </c>
      <c r="F53" s="9">
        <v>1.2E-5</v>
      </c>
      <c r="G53" s="9">
        <v>1.2E-5</v>
      </c>
      <c r="H53" s="9">
        <v>1.2E-5</v>
      </c>
      <c r="I53" s="9">
        <v>1.2E-5</v>
      </c>
      <c r="J53" s="9">
        <v>1.2E-5</v>
      </c>
      <c r="K53" s="9">
        <v>1.2E-5</v>
      </c>
    </row>
    <row r="54" spans="1:11" ht="15" customHeight="1" x14ac:dyDescent="0.45">
      <c r="A54" s="8">
        <v>67</v>
      </c>
      <c r="B54" s="9">
        <v>3.8219999999999999E-3</v>
      </c>
      <c r="C54" s="9">
        <v>6.7900000000000002E-4</v>
      </c>
      <c r="D54" s="9">
        <v>2.9E-5</v>
      </c>
      <c r="E54" s="9">
        <v>3.9999999999999998E-6</v>
      </c>
      <c r="F54" s="9">
        <v>3.9999999999999998E-6</v>
      </c>
      <c r="G54" s="9">
        <v>3.9999999999999998E-6</v>
      </c>
      <c r="H54" s="9">
        <v>3.9999999999999998E-6</v>
      </c>
      <c r="I54" s="9">
        <v>3.9999999999999998E-6</v>
      </c>
      <c r="J54" s="9">
        <v>3.9999999999999998E-6</v>
      </c>
      <c r="K54" s="9">
        <v>3.9999999999999998E-6</v>
      </c>
    </row>
    <row r="55" spans="1:11" ht="15" customHeight="1" x14ac:dyDescent="0.45">
      <c r="A55" s="8">
        <v>68</v>
      </c>
      <c r="B55" s="9">
        <v>2.7729999999999999E-3</v>
      </c>
      <c r="C55" s="9">
        <v>3.9199999999999999E-4</v>
      </c>
      <c r="D55" s="9">
        <v>1.2E-5</v>
      </c>
      <c r="E55" s="9">
        <v>9.9999999999999995E-7</v>
      </c>
      <c r="F55" s="9">
        <v>9.9999999999999995E-7</v>
      </c>
      <c r="G55" s="9">
        <v>9.9999999999999995E-7</v>
      </c>
      <c r="H55" s="9">
        <v>9.9999999999999995E-7</v>
      </c>
      <c r="I55" s="9">
        <v>9.9999999999999995E-7</v>
      </c>
      <c r="J55" s="9">
        <v>9.9999999999999995E-7</v>
      </c>
      <c r="K55" s="9">
        <v>9.9999999999999995E-7</v>
      </c>
    </row>
    <row r="56" spans="1:11" ht="15" customHeight="1" x14ac:dyDescent="0.45">
      <c r="A56" s="8">
        <v>69</v>
      </c>
      <c r="B56" s="9">
        <v>1.98E-3</v>
      </c>
      <c r="C56" s="9">
        <v>2.2000000000000001E-4</v>
      </c>
      <c r="D56" s="9">
        <v>5.0000000000000004E-6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</row>
    <row r="57" spans="1:11" ht="15" customHeight="1" x14ac:dyDescent="0.45">
      <c r="A57" s="8">
        <v>70</v>
      </c>
      <c r="B57" s="9">
        <v>1.39E-3</v>
      </c>
      <c r="C57" s="9">
        <v>1.1900000000000001E-4</v>
      </c>
      <c r="D57" s="9">
        <v>1.9999999999999999E-6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54" sqref="K54"/>
    </sheetView>
  </sheetViews>
  <sheetFormatPr baseColWidth="10" defaultColWidth="8.6640625" defaultRowHeight="14.25" x14ac:dyDescent="0.45"/>
  <cols>
    <col min="1" max="1" width="8" customWidth="1"/>
    <col min="2" max="7" width="11" customWidth="1"/>
  </cols>
  <sheetData>
    <row r="1" spans="1:7" ht="15" customHeight="1" x14ac:dyDescent="0.45">
      <c r="A1" s="7" t="s">
        <v>10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 ht="15" customHeight="1" x14ac:dyDescent="0.45">
      <c r="A2" s="8">
        <v>15</v>
      </c>
      <c r="B2" s="9">
        <v>5.5989999999999998E-3</v>
      </c>
      <c r="C2" s="10"/>
      <c r="D2" s="10"/>
      <c r="E2" s="10"/>
      <c r="F2" s="10"/>
      <c r="G2" s="10"/>
    </row>
    <row r="3" spans="1:7" ht="15" customHeight="1" x14ac:dyDescent="0.45">
      <c r="A3" s="8">
        <v>16</v>
      </c>
      <c r="B3" s="9">
        <v>5.5989999999999998E-3</v>
      </c>
      <c r="C3" s="9">
        <v>1.1845E-2</v>
      </c>
      <c r="D3" s="10"/>
      <c r="E3" s="10"/>
      <c r="F3" s="10"/>
      <c r="G3" s="10"/>
    </row>
    <row r="4" spans="1:7" ht="15" customHeight="1" x14ac:dyDescent="0.45">
      <c r="A4" s="8">
        <v>17</v>
      </c>
      <c r="B4" s="9">
        <v>5.5989999999999998E-3</v>
      </c>
      <c r="C4" s="9">
        <v>1.1845E-2</v>
      </c>
      <c r="D4" s="9">
        <v>6.7520000000000002E-3</v>
      </c>
      <c r="E4" s="10"/>
      <c r="F4" s="10"/>
      <c r="G4" s="10"/>
    </row>
    <row r="5" spans="1:7" ht="15" customHeight="1" x14ac:dyDescent="0.45">
      <c r="A5" s="8">
        <v>18</v>
      </c>
      <c r="B5" s="9">
        <v>5.5989999999999998E-3</v>
      </c>
      <c r="C5" s="9">
        <v>1.1845E-2</v>
      </c>
      <c r="D5" s="9">
        <v>6.7520000000000002E-3</v>
      </c>
      <c r="E5" s="9">
        <v>3.888E-3</v>
      </c>
      <c r="F5" s="10"/>
      <c r="G5" s="10"/>
    </row>
    <row r="6" spans="1:7" ht="15" customHeight="1" x14ac:dyDescent="0.45">
      <c r="A6" s="8">
        <v>19</v>
      </c>
      <c r="B6" s="9">
        <v>5.5989999999999998E-3</v>
      </c>
      <c r="C6" s="9">
        <v>1.1845E-2</v>
      </c>
      <c r="D6" s="9">
        <v>6.7520000000000002E-3</v>
      </c>
      <c r="E6" s="9">
        <v>3.888E-3</v>
      </c>
      <c r="F6" s="9">
        <v>3.888E-3</v>
      </c>
      <c r="G6" s="10"/>
    </row>
    <row r="7" spans="1:7" ht="15" customHeight="1" x14ac:dyDescent="0.45">
      <c r="A7" s="8">
        <v>20</v>
      </c>
      <c r="B7" s="9">
        <v>5.5989999999999998E-3</v>
      </c>
      <c r="C7" s="9">
        <v>1.1845E-2</v>
      </c>
      <c r="D7" s="9">
        <v>6.7520000000000002E-3</v>
      </c>
      <c r="E7" s="9">
        <v>3.888E-3</v>
      </c>
      <c r="F7" s="9">
        <v>3.888E-3</v>
      </c>
      <c r="G7" s="9">
        <v>3.888E-3</v>
      </c>
    </row>
    <row r="8" spans="1:7" ht="15" customHeight="1" x14ac:dyDescent="0.45">
      <c r="A8" s="8">
        <v>21</v>
      </c>
      <c r="B8" s="9">
        <v>5.5989999999999998E-3</v>
      </c>
      <c r="C8" s="9">
        <v>1.1845E-2</v>
      </c>
      <c r="D8" s="9">
        <v>6.7520000000000002E-3</v>
      </c>
      <c r="E8" s="9">
        <v>3.888E-3</v>
      </c>
      <c r="F8" s="9">
        <v>3.888E-3</v>
      </c>
      <c r="G8" s="9">
        <v>3.888E-3</v>
      </c>
    </row>
    <row r="9" spans="1:7" ht="15" customHeight="1" x14ac:dyDescent="0.45">
      <c r="A9" s="8">
        <v>22</v>
      </c>
      <c r="B9" s="9">
        <v>5.5989999999999998E-3</v>
      </c>
      <c r="C9" s="9">
        <v>1.1845E-2</v>
      </c>
      <c r="D9" s="9">
        <v>6.7520000000000002E-3</v>
      </c>
      <c r="E9" s="9">
        <v>3.888E-3</v>
      </c>
      <c r="F9" s="9">
        <v>3.888E-3</v>
      </c>
      <c r="G9" s="9">
        <v>3.888E-3</v>
      </c>
    </row>
    <row r="10" spans="1:7" ht="15" customHeight="1" x14ac:dyDescent="0.45">
      <c r="A10" s="8">
        <v>23</v>
      </c>
      <c r="B10" s="9">
        <v>5.5989999999999998E-3</v>
      </c>
      <c r="C10" s="9">
        <v>1.1845E-2</v>
      </c>
      <c r="D10" s="9">
        <v>6.7520000000000002E-3</v>
      </c>
      <c r="E10" s="9">
        <v>3.888E-3</v>
      </c>
      <c r="F10" s="9">
        <v>3.888E-3</v>
      </c>
      <c r="G10" s="9">
        <v>3.888E-3</v>
      </c>
    </row>
    <row r="11" spans="1:7" ht="15" customHeight="1" x14ac:dyDescent="0.45">
      <c r="A11" s="8">
        <v>24</v>
      </c>
      <c r="B11" s="9">
        <v>5.5989999999999998E-3</v>
      </c>
      <c r="C11" s="9">
        <v>1.1845E-2</v>
      </c>
      <c r="D11" s="9">
        <v>6.7520000000000002E-3</v>
      </c>
      <c r="E11" s="9">
        <v>3.888E-3</v>
      </c>
      <c r="F11" s="9">
        <v>3.888E-3</v>
      </c>
      <c r="G11" s="9">
        <v>3.888E-3</v>
      </c>
    </row>
    <row r="12" spans="1:7" ht="15" customHeight="1" x14ac:dyDescent="0.45">
      <c r="A12" s="8">
        <v>25</v>
      </c>
      <c r="B12" s="9">
        <v>5.5989999999999998E-3</v>
      </c>
      <c r="C12" s="9">
        <v>1.1845E-2</v>
      </c>
      <c r="D12" s="9">
        <v>6.7520000000000002E-3</v>
      </c>
      <c r="E12" s="9">
        <v>3.888E-3</v>
      </c>
      <c r="F12" s="9">
        <v>3.888E-3</v>
      </c>
      <c r="G12" s="9">
        <v>3.888E-3</v>
      </c>
    </row>
    <row r="13" spans="1:7" ht="15" customHeight="1" x14ac:dyDescent="0.45">
      <c r="A13" s="8">
        <v>26</v>
      </c>
      <c r="B13" s="9">
        <v>5.5989999999999998E-3</v>
      </c>
      <c r="C13" s="9">
        <v>1.1845E-2</v>
      </c>
      <c r="D13" s="9">
        <v>6.7520000000000002E-3</v>
      </c>
      <c r="E13" s="9">
        <v>3.888E-3</v>
      </c>
      <c r="F13" s="9">
        <v>3.888E-3</v>
      </c>
      <c r="G13" s="9">
        <v>3.888E-3</v>
      </c>
    </row>
    <row r="14" spans="1:7" ht="15" customHeight="1" x14ac:dyDescent="0.45">
      <c r="A14" s="8">
        <v>27</v>
      </c>
      <c r="B14" s="9">
        <v>5.5989999999999998E-3</v>
      </c>
      <c r="C14" s="9">
        <v>1.1845E-2</v>
      </c>
      <c r="D14" s="9">
        <v>6.7520000000000002E-3</v>
      </c>
      <c r="E14" s="9">
        <v>3.888E-3</v>
      </c>
      <c r="F14" s="9">
        <v>3.888E-3</v>
      </c>
      <c r="G14" s="9">
        <v>3.888E-3</v>
      </c>
    </row>
    <row r="15" spans="1:7" ht="15" customHeight="1" x14ac:dyDescent="0.45">
      <c r="A15" s="8">
        <v>28</v>
      </c>
      <c r="B15" s="9">
        <v>5.5989999999999998E-3</v>
      </c>
      <c r="C15" s="9">
        <v>1.1845E-2</v>
      </c>
      <c r="D15" s="9">
        <v>6.7520000000000002E-3</v>
      </c>
      <c r="E15" s="9">
        <v>3.888E-3</v>
      </c>
      <c r="F15" s="9">
        <v>3.888E-3</v>
      </c>
      <c r="G15" s="9">
        <v>3.888E-3</v>
      </c>
    </row>
    <row r="16" spans="1:7" ht="15" customHeight="1" x14ac:dyDescent="0.45">
      <c r="A16" s="8">
        <v>29</v>
      </c>
      <c r="B16" s="9">
        <v>5.5989999999999998E-3</v>
      </c>
      <c r="C16" s="9">
        <v>1.1845E-2</v>
      </c>
      <c r="D16" s="9">
        <v>6.7520000000000002E-3</v>
      </c>
      <c r="E16" s="9">
        <v>3.888E-3</v>
      </c>
      <c r="F16" s="9">
        <v>3.888E-3</v>
      </c>
      <c r="G16" s="9">
        <v>3.888E-3</v>
      </c>
    </row>
    <row r="17" spans="1:7" ht="15" customHeight="1" x14ac:dyDescent="0.45">
      <c r="A17" s="8">
        <v>30</v>
      </c>
      <c r="B17" s="9">
        <v>5.5989999999999998E-3</v>
      </c>
      <c r="C17" s="9">
        <v>1.1845E-2</v>
      </c>
      <c r="D17" s="9">
        <v>6.7520000000000002E-3</v>
      </c>
      <c r="E17" s="9">
        <v>3.888E-3</v>
      </c>
      <c r="F17" s="9">
        <v>3.888E-3</v>
      </c>
      <c r="G17" s="9">
        <v>3.888E-3</v>
      </c>
    </row>
    <row r="18" spans="1:7" ht="15" customHeight="1" x14ac:dyDescent="0.45">
      <c r="A18" s="8">
        <v>31</v>
      </c>
      <c r="B18" s="9">
        <v>5.5989999999999998E-3</v>
      </c>
      <c r="C18" s="9">
        <v>1.1845E-2</v>
      </c>
      <c r="D18" s="9">
        <v>6.7520000000000002E-3</v>
      </c>
      <c r="E18" s="9">
        <v>3.888E-3</v>
      </c>
      <c r="F18" s="9">
        <v>3.888E-3</v>
      </c>
      <c r="G18" s="9">
        <v>3.888E-3</v>
      </c>
    </row>
    <row r="19" spans="1:7" ht="15" customHeight="1" x14ac:dyDescent="0.45">
      <c r="A19" s="8">
        <v>32</v>
      </c>
      <c r="B19" s="9">
        <v>6.7520000000000002E-3</v>
      </c>
      <c r="C19" s="9">
        <v>1.3099E-2</v>
      </c>
      <c r="D19" s="9">
        <v>6.7520000000000002E-3</v>
      </c>
      <c r="E19" s="9">
        <v>3.888E-3</v>
      </c>
      <c r="F19" s="9">
        <v>3.888E-3</v>
      </c>
      <c r="G19" s="9">
        <v>3.888E-3</v>
      </c>
    </row>
    <row r="20" spans="1:7" ht="15" customHeight="1" x14ac:dyDescent="0.45">
      <c r="A20" s="8">
        <v>33</v>
      </c>
      <c r="B20" s="9">
        <v>7.9120000000000006E-3</v>
      </c>
      <c r="C20" s="9">
        <v>1.4253999999999999E-2</v>
      </c>
      <c r="D20" s="9">
        <v>7.9120000000000006E-3</v>
      </c>
      <c r="E20" s="9">
        <v>3.888E-3</v>
      </c>
      <c r="F20" s="9">
        <v>3.888E-3</v>
      </c>
      <c r="G20" s="9">
        <v>3.888E-3</v>
      </c>
    </row>
    <row r="21" spans="1:7" ht="15" customHeight="1" x14ac:dyDescent="0.45">
      <c r="A21" s="8">
        <v>34</v>
      </c>
      <c r="B21" s="9">
        <v>9.0860000000000003E-3</v>
      </c>
      <c r="C21" s="9">
        <v>1.5413E-2</v>
      </c>
      <c r="D21" s="9">
        <v>9.0860000000000003E-3</v>
      </c>
      <c r="E21" s="9">
        <v>4.5979999999999997E-3</v>
      </c>
      <c r="F21" s="9">
        <v>4.169E-3</v>
      </c>
      <c r="G21" s="9">
        <v>4.169E-3</v>
      </c>
    </row>
    <row r="22" spans="1:7" ht="15" customHeight="1" x14ac:dyDescent="0.45">
      <c r="A22" s="8">
        <v>35</v>
      </c>
      <c r="B22" s="9">
        <v>1.0279E-2</v>
      </c>
      <c r="C22" s="9">
        <v>1.6576E-2</v>
      </c>
      <c r="D22" s="9">
        <v>1.0187999999999999E-2</v>
      </c>
      <c r="E22" s="9">
        <v>5.306E-3</v>
      </c>
      <c r="F22" s="9">
        <v>4.6030000000000003E-3</v>
      </c>
      <c r="G22" s="9">
        <v>4.4470000000000004E-3</v>
      </c>
    </row>
    <row r="23" spans="1:7" ht="15" customHeight="1" x14ac:dyDescent="0.45">
      <c r="A23" s="8">
        <v>36</v>
      </c>
      <c r="B23" s="9">
        <v>1.1492E-2</v>
      </c>
      <c r="C23" s="9">
        <v>1.7745E-2</v>
      </c>
      <c r="D23" s="9">
        <v>1.0999E-2</v>
      </c>
      <c r="E23" s="9">
        <v>6.012E-3</v>
      </c>
      <c r="F23" s="9">
        <v>5.0359999999999997E-3</v>
      </c>
      <c r="G23" s="9">
        <v>4.5890000000000002E-3</v>
      </c>
    </row>
    <row r="24" spans="1:7" ht="15" customHeight="1" x14ac:dyDescent="0.45">
      <c r="A24" s="8">
        <v>37</v>
      </c>
      <c r="B24" s="9">
        <v>1.2727E-2</v>
      </c>
      <c r="C24" s="9">
        <v>1.8918999999999998E-2</v>
      </c>
      <c r="D24" s="9">
        <v>1.1809999999999999E-2</v>
      </c>
      <c r="E24" s="9">
        <v>6.7149999999999996E-3</v>
      </c>
      <c r="F24" s="9">
        <v>5.4679999999999998E-3</v>
      </c>
      <c r="G24" s="9">
        <v>4.7330000000000002E-3</v>
      </c>
    </row>
    <row r="25" spans="1:7" ht="15" customHeight="1" x14ac:dyDescent="0.45">
      <c r="A25" s="8">
        <v>38</v>
      </c>
      <c r="B25" s="9">
        <v>1.3984E-2</v>
      </c>
      <c r="C25" s="9">
        <v>2.0101000000000001E-2</v>
      </c>
      <c r="D25" s="9">
        <v>1.2621E-2</v>
      </c>
      <c r="E25" s="9">
        <v>7.4159999999999998E-3</v>
      </c>
      <c r="F25" s="9">
        <v>5.9020000000000001E-3</v>
      </c>
      <c r="G25" s="9">
        <v>4.8770000000000003E-3</v>
      </c>
    </row>
    <row r="26" spans="1:7" ht="15" customHeight="1" x14ac:dyDescent="0.45">
      <c r="A26" s="8">
        <v>39</v>
      </c>
      <c r="B26" s="9">
        <v>1.5265000000000001E-2</v>
      </c>
      <c r="C26" s="9">
        <v>2.1292999999999999E-2</v>
      </c>
      <c r="D26" s="9">
        <v>1.3429E-2</v>
      </c>
      <c r="E26" s="9">
        <v>8.1150000000000007E-3</v>
      </c>
      <c r="F26" s="9">
        <v>6.339E-3</v>
      </c>
      <c r="G26" s="9">
        <v>5.025E-3</v>
      </c>
    </row>
    <row r="27" spans="1:7" ht="15" customHeight="1" x14ac:dyDescent="0.45">
      <c r="A27" s="8">
        <v>40</v>
      </c>
      <c r="B27" s="9">
        <v>1.6569E-2</v>
      </c>
      <c r="C27" s="9">
        <v>2.2502000000000001E-2</v>
      </c>
      <c r="D27" s="9">
        <v>1.4234E-2</v>
      </c>
      <c r="E27" s="9">
        <v>8.8109999999999994E-3</v>
      </c>
      <c r="F27" s="9">
        <v>6.7809999999999997E-3</v>
      </c>
      <c r="G27" s="9">
        <v>5.1840000000000002E-3</v>
      </c>
    </row>
    <row r="28" spans="1:7" ht="15" customHeight="1" x14ac:dyDescent="0.45">
      <c r="A28" s="8">
        <v>41</v>
      </c>
      <c r="B28" s="9">
        <v>1.7898000000000001E-2</v>
      </c>
      <c r="C28" s="9">
        <v>2.3729E-2</v>
      </c>
      <c r="D28" s="9">
        <v>1.5042E-2</v>
      </c>
      <c r="E28" s="9">
        <v>9.5090000000000001E-3</v>
      </c>
      <c r="F28" s="9">
        <v>7.2300000000000003E-3</v>
      </c>
      <c r="G28" s="9">
        <v>5.359E-3</v>
      </c>
    </row>
    <row r="29" spans="1:7" ht="15" customHeight="1" x14ac:dyDescent="0.45">
      <c r="A29" s="8">
        <v>42</v>
      </c>
      <c r="B29" s="9">
        <v>1.9247E-2</v>
      </c>
      <c r="C29" s="9">
        <v>2.4969999999999999E-2</v>
      </c>
      <c r="D29" s="9">
        <v>1.5859000000000002E-2</v>
      </c>
      <c r="E29" s="9">
        <v>1.0211E-2</v>
      </c>
      <c r="F29" s="9">
        <v>7.6839999999999999E-3</v>
      </c>
      <c r="G29" s="9">
        <v>5.5640000000000004E-3</v>
      </c>
    </row>
    <row r="30" spans="1:7" ht="15" customHeight="1" x14ac:dyDescent="0.45">
      <c r="A30" s="8">
        <v>43</v>
      </c>
      <c r="B30" s="9">
        <v>2.0611000000000001E-2</v>
      </c>
      <c r="C30" s="9">
        <v>2.622E-2</v>
      </c>
      <c r="D30" s="9">
        <v>1.669E-2</v>
      </c>
      <c r="E30" s="9">
        <v>1.0921999999999999E-2</v>
      </c>
      <c r="F30" s="9">
        <v>8.1460000000000005E-3</v>
      </c>
      <c r="G30" s="9">
        <v>5.8100000000000001E-3</v>
      </c>
    </row>
    <row r="31" spans="1:7" ht="15" customHeight="1" x14ac:dyDescent="0.45">
      <c r="A31" s="8">
        <v>44</v>
      </c>
      <c r="B31" s="9">
        <v>2.1985999999999999E-2</v>
      </c>
      <c r="C31" s="9">
        <v>2.7477000000000001E-2</v>
      </c>
      <c r="D31" s="9">
        <v>1.7538999999999999E-2</v>
      </c>
      <c r="E31" s="9">
        <v>1.1645000000000001E-2</v>
      </c>
      <c r="F31" s="9">
        <v>8.6169999999999997E-3</v>
      </c>
      <c r="G31" s="9">
        <v>6.1079999999999997E-3</v>
      </c>
    </row>
    <row r="32" spans="1:7" ht="15" customHeight="1" x14ac:dyDescent="0.45">
      <c r="A32" s="8">
        <v>45</v>
      </c>
      <c r="B32" s="9">
        <v>2.3372E-2</v>
      </c>
      <c r="C32" s="9">
        <v>2.8742E-2</v>
      </c>
      <c r="D32" s="9">
        <v>1.8409999999999999E-2</v>
      </c>
      <c r="E32" s="9">
        <v>1.2382000000000001E-2</v>
      </c>
      <c r="F32" s="9">
        <v>9.1020000000000007E-3</v>
      </c>
      <c r="G32" s="9">
        <v>6.4640000000000001E-3</v>
      </c>
    </row>
    <row r="33" spans="1:7" ht="15" customHeight="1" x14ac:dyDescent="0.45">
      <c r="A33" s="8">
        <v>46</v>
      </c>
      <c r="B33" s="9">
        <v>2.4767000000000001E-2</v>
      </c>
      <c r="C33" s="9">
        <v>3.0009000000000001E-2</v>
      </c>
      <c r="D33" s="9">
        <v>1.9303000000000001E-2</v>
      </c>
      <c r="E33" s="9">
        <v>1.3132E-2</v>
      </c>
      <c r="F33" s="9">
        <v>9.6030000000000004E-3</v>
      </c>
      <c r="G33" s="9">
        <v>6.8799999999999998E-3</v>
      </c>
    </row>
    <row r="34" spans="1:7" ht="15" customHeight="1" x14ac:dyDescent="0.45">
      <c r="A34" s="8">
        <v>47</v>
      </c>
      <c r="B34" s="9">
        <v>2.6166999999999999E-2</v>
      </c>
      <c r="C34" s="9">
        <v>3.1262999999999999E-2</v>
      </c>
      <c r="D34" s="9">
        <v>2.0215E-2</v>
      </c>
      <c r="E34" s="9">
        <v>1.3897E-2</v>
      </c>
      <c r="F34" s="9">
        <v>1.0121E-2</v>
      </c>
      <c r="G34" s="9">
        <v>7.3559999999999997E-3</v>
      </c>
    </row>
    <row r="35" spans="1:7" ht="15" customHeight="1" x14ac:dyDescent="0.45">
      <c r="A35" s="8">
        <v>48</v>
      </c>
      <c r="B35" s="9">
        <v>2.7567999999999999E-2</v>
      </c>
      <c r="C35" s="9">
        <v>3.2495999999999997E-2</v>
      </c>
      <c r="D35" s="9">
        <v>2.1138000000000001E-2</v>
      </c>
      <c r="E35" s="9">
        <v>1.4673E-2</v>
      </c>
      <c r="F35" s="9">
        <v>1.0655E-2</v>
      </c>
      <c r="G35" s="9">
        <v>7.8840000000000004E-3</v>
      </c>
    </row>
    <row r="36" spans="1:7" ht="15" customHeight="1" x14ac:dyDescent="0.45">
      <c r="A36" s="8">
        <v>49</v>
      </c>
      <c r="B36" s="9">
        <v>2.8965999999999999E-2</v>
      </c>
      <c r="C36" s="9">
        <v>3.3701000000000002E-2</v>
      </c>
      <c r="D36" s="9">
        <v>2.2071E-2</v>
      </c>
      <c r="E36" s="9">
        <v>1.5458E-2</v>
      </c>
      <c r="F36" s="9">
        <v>1.1205E-2</v>
      </c>
      <c r="G36" s="9">
        <v>8.4550000000000007E-3</v>
      </c>
    </row>
    <row r="37" spans="1:7" ht="15" customHeight="1" x14ac:dyDescent="0.45">
      <c r="A37" s="8">
        <v>50</v>
      </c>
      <c r="B37" s="9">
        <v>3.0352000000000001E-2</v>
      </c>
      <c r="C37" s="9">
        <v>3.4875999999999997E-2</v>
      </c>
      <c r="D37" s="9">
        <v>2.3012000000000001E-2</v>
      </c>
      <c r="E37" s="9">
        <v>1.6254999999999999E-2</v>
      </c>
      <c r="F37" s="9">
        <v>1.1771E-2</v>
      </c>
      <c r="G37" s="9">
        <v>9.0670000000000004E-3</v>
      </c>
    </row>
    <row r="38" spans="1:7" ht="15" customHeight="1" x14ac:dyDescent="0.45">
      <c r="A38" s="8">
        <v>51</v>
      </c>
      <c r="B38" s="9">
        <v>3.1719999999999998E-2</v>
      </c>
      <c r="C38" s="9">
        <v>3.6019000000000002E-2</v>
      </c>
      <c r="D38" s="9">
        <v>2.3954E-2</v>
      </c>
      <c r="E38" s="9">
        <v>1.7070999999999999E-2</v>
      </c>
      <c r="F38" s="9">
        <v>1.2352E-2</v>
      </c>
      <c r="G38" s="9">
        <v>9.7219999999999997E-3</v>
      </c>
    </row>
    <row r="39" spans="1:7" ht="15" customHeight="1" x14ac:dyDescent="0.45">
      <c r="A39" s="8">
        <v>52</v>
      </c>
      <c r="B39" s="9">
        <v>3.3069000000000001E-2</v>
      </c>
      <c r="C39" s="9">
        <v>3.7131999999999998E-2</v>
      </c>
      <c r="D39" s="9">
        <v>2.4892999999999998E-2</v>
      </c>
      <c r="E39" s="9">
        <v>1.7912000000000001E-2</v>
      </c>
      <c r="F39" s="9">
        <v>1.2945999999999999E-2</v>
      </c>
      <c r="G39" s="9">
        <v>1.0429000000000001E-2</v>
      </c>
    </row>
    <row r="40" spans="1:7" ht="15" customHeight="1" x14ac:dyDescent="0.45">
      <c r="A40" s="8">
        <v>53</v>
      </c>
      <c r="B40" s="9">
        <v>3.4398999999999999E-2</v>
      </c>
      <c r="C40" s="9">
        <v>3.8225000000000002E-2</v>
      </c>
      <c r="D40" s="9">
        <v>2.5821E-2</v>
      </c>
      <c r="E40" s="9">
        <v>1.8783000000000001E-2</v>
      </c>
      <c r="F40" s="9">
        <v>1.3553000000000001E-2</v>
      </c>
      <c r="G40" s="9">
        <v>1.1199000000000001E-2</v>
      </c>
    </row>
    <row r="41" spans="1:7" ht="15" customHeight="1" x14ac:dyDescent="0.45">
      <c r="A41" s="8">
        <v>54</v>
      </c>
      <c r="B41" s="9">
        <v>3.5708999999999998E-2</v>
      </c>
      <c r="C41" s="9">
        <v>3.9298E-2</v>
      </c>
      <c r="D41" s="9">
        <v>2.673E-2</v>
      </c>
      <c r="E41" s="9">
        <v>1.9685000000000001E-2</v>
      </c>
      <c r="F41" s="9">
        <v>1.417E-2</v>
      </c>
      <c r="G41" s="9">
        <v>1.2038999999999999E-2</v>
      </c>
    </row>
    <row r="42" spans="1:7" ht="15" customHeight="1" x14ac:dyDescent="0.45">
      <c r="A42" s="8">
        <v>55</v>
      </c>
      <c r="B42" s="9">
        <v>3.7003000000000001E-2</v>
      </c>
      <c r="C42" s="9">
        <v>4.0353E-2</v>
      </c>
      <c r="D42" s="9">
        <v>2.7616000000000002E-2</v>
      </c>
      <c r="E42" s="9">
        <v>2.0612999999999999E-2</v>
      </c>
      <c r="F42" s="9">
        <v>1.4793000000000001E-2</v>
      </c>
      <c r="G42" s="9">
        <v>1.2945999999999999E-2</v>
      </c>
    </row>
    <row r="43" spans="1:7" ht="15" customHeight="1" x14ac:dyDescent="0.45">
      <c r="A43" s="8">
        <v>56</v>
      </c>
      <c r="B43" s="9">
        <v>3.8286000000000001E-2</v>
      </c>
      <c r="C43" s="9">
        <v>4.1395000000000001E-2</v>
      </c>
      <c r="D43" s="9">
        <v>2.8482E-2</v>
      </c>
      <c r="E43" s="9">
        <v>2.1559999999999999E-2</v>
      </c>
      <c r="F43" s="9">
        <v>1.542E-2</v>
      </c>
      <c r="G43" s="9">
        <v>1.3918E-2</v>
      </c>
    </row>
    <row r="44" spans="1:7" ht="15" customHeight="1" x14ac:dyDescent="0.45">
      <c r="A44" s="8">
        <v>57</v>
      </c>
      <c r="B44" s="9">
        <v>3.9565000000000003E-2</v>
      </c>
      <c r="C44" s="9">
        <v>4.2428E-2</v>
      </c>
      <c r="D44" s="9">
        <v>2.9336000000000001E-2</v>
      </c>
      <c r="E44" s="9">
        <v>2.2519000000000001E-2</v>
      </c>
      <c r="F44" s="9">
        <v>1.6049000000000001E-2</v>
      </c>
      <c r="G44" s="9">
        <v>1.4940999999999999E-2</v>
      </c>
    </row>
    <row r="45" spans="1:7" ht="15" customHeight="1" x14ac:dyDescent="0.45">
      <c r="A45" s="8">
        <v>58</v>
      </c>
      <c r="B45" s="9">
        <v>4.0842000000000003E-2</v>
      </c>
      <c r="C45" s="9">
        <v>4.3457999999999997E-2</v>
      </c>
      <c r="D45" s="9">
        <v>3.0182E-2</v>
      </c>
      <c r="E45" s="9">
        <v>2.3481999999999999E-2</v>
      </c>
      <c r="F45" s="9">
        <v>1.668E-2</v>
      </c>
      <c r="G45" s="9">
        <v>1.6001000000000001E-2</v>
      </c>
    </row>
    <row r="46" spans="1:7" ht="15" customHeight="1" x14ac:dyDescent="0.45">
      <c r="A46" s="8">
        <v>59</v>
      </c>
      <c r="B46" s="9">
        <v>4.2115E-2</v>
      </c>
      <c r="C46" s="9">
        <v>4.4485999999999998E-2</v>
      </c>
      <c r="D46" s="9">
        <v>3.1028E-2</v>
      </c>
      <c r="E46" s="9">
        <v>2.4445999999999999E-2</v>
      </c>
      <c r="F46" s="9">
        <v>1.7311E-2</v>
      </c>
      <c r="G46" s="9">
        <v>1.7073000000000001E-2</v>
      </c>
    </row>
    <row r="47" spans="1:7" ht="15" customHeight="1" x14ac:dyDescent="0.45">
      <c r="A47" s="8">
        <v>60</v>
      </c>
      <c r="B47" s="9">
        <v>4.3383999999999999E-2</v>
      </c>
      <c r="C47" s="9">
        <v>4.5512999999999998E-2</v>
      </c>
      <c r="D47" s="9">
        <v>3.1877000000000003E-2</v>
      </c>
      <c r="E47" s="9">
        <v>2.5408E-2</v>
      </c>
      <c r="F47" s="9">
        <v>1.7942E-2</v>
      </c>
      <c r="G47" s="9">
        <v>1.7942E-2</v>
      </c>
    </row>
    <row r="48" spans="1:7" ht="15" customHeight="1" x14ac:dyDescent="0.45">
      <c r="A48" s="8">
        <v>61</v>
      </c>
      <c r="B48" s="9">
        <v>4.4638999999999998E-2</v>
      </c>
      <c r="C48" s="9">
        <v>4.6528E-2</v>
      </c>
      <c r="D48" s="9">
        <v>3.2707E-2</v>
      </c>
      <c r="E48" s="9">
        <v>2.6367999999999999E-2</v>
      </c>
      <c r="F48" s="9">
        <v>1.8873000000000001E-2</v>
      </c>
      <c r="G48" s="9">
        <v>1.8873000000000001E-2</v>
      </c>
    </row>
    <row r="49" spans="1:7" ht="15" customHeight="1" x14ac:dyDescent="0.45">
      <c r="A49" s="8">
        <v>62</v>
      </c>
      <c r="B49" s="9">
        <v>4.5880999999999998E-2</v>
      </c>
      <c r="C49" s="9">
        <v>4.7536000000000002E-2</v>
      </c>
      <c r="D49" s="9">
        <v>3.3529000000000003E-2</v>
      </c>
      <c r="E49" s="9">
        <v>2.7321000000000002E-2</v>
      </c>
      <c r="F49" s="9">
        <v>1.9722E-2</v>
      </c>
      <c r="G49" s="9">
        <v>1.9722E-2</v>
      </c>
    </row>
    <row r="50" spans="1:7" ht="15" customHeight="1" x14ac:dyDescent="0.45">
      <c r="A50" s="8">
        <v>63</v>
      </c>
      <c r="B50" s="9">
        <v>4.7106000000000002E-2</v>
      </c>
      <c r="C50" s="9">
        <v>4.8534000000000001E-2</v>
      </c>
      <c r="D50" s="9">
        <v>3.4340000000000002E-2</v>
      </c>
      <c r="E50" s="9">
        <v>2.8263E-2</v>
      </c>
      <c r="F50" s="9">
        <v>2.0508999999999999E-2</v>
      </c>
      <c r="G50" s="9">
        <v>2.0508999999999999E-2</v>
      </c>
    </row>
    <row r="51" spans="1:7" ht="15" customHeight="1" x14ac:dyDescent="0.45">
      <c r="A51" s="8">
        <v>64</v>
      </c>
      <c r="B51" s="9">
        <v>4.8312000000000001E-2</v>
      </c>
      <c r="C51" s="9">
        <v>4.9520000000000002E-2</v>
      </c>
      <c r="D51" s="9">
        <v>3.5137000000000002E-2</v>
      </c>
      <c r="E51" s="9">
        <v>2.9191000000000002E-2</v>
      </c>
      <c r="F51" s="9">
        <v>2.1224E-2</v>
      </c>
      <c r="G51" s="9">
        <v>2.1224E-2</v>
      </c>
    </row>
    <row r="52" spans="1:7" ht="15" customHeight="1" x14ac:dyDescent="0.45">
      <c r="A52" s="8">
        <v>65</v>
      </c>
      <c r="B52" s="9">
        <v>4.9494000000000003E-2</v>
      </c>
      <c r="C52" s="9">
        <v>5.0493999999999997E-2</v>
      </c>
      <c r="D52" s="9">
        <v>3.5919E-2</v>
      </c>
      <c r="E52" s="9">
        <v>3.0103000000000001E-2</v>
      </c>
      <c r="F52" s="9">
        <v>2.1857999999999999E-2</v>
      </c>
      <c r="G52" s="9">
        <v>2.1857999999999999E-2</v>
      </c>
    </row>
    <row r="53" spans="1:7" ht="15" customHeight="1" x14ac:dyDescent="0.45">
      <c r="A53" s="8">
        <v>66</v>
      </c>
      <c r="B53" s="9">
        <v>5.0651000000000002E-2</v>
      </c>
      <c r="C53" s="9">
        <v>5.1454E-2</v>
      </c>
      <c r="D53" s="9">
        <v>3.6683E-2</v>
      </c>
      <c r="E53" s="9">
        <v>3.0994000000000001E-2</v>
      </c>
      <c r="F53" s="9">
        <v>2.2402999999999999E-2</v>
      </c>
      <c r="G53" s="9">
        <v>2.2402999999999999E-2</v>
      </c>
    </row>
    <row r="54" spans="1:7" ht="15" customHeight="1" x14ac:dyDescent="0.45">
      <c r="A54" s="8">
        <v>67</v>
      </c>
      <c r="B54" s="9">
        <v>5.178E-2</v>
      </c>
      <c r="C54" s="9">
        <v>5.2398E-2</v>
      </c>
      <c r="D54" s="9">
        <v>3.7428000000000003E-2</v>
      </c>
      <c r="E54" s="9">
        <v>3.1859999999999999E-2</v>
      </c>
      <c r="F54" s="9">
        <v>2.2849999999999999E-2</v>
      </c>
      <c r="G54" s="9">
        <v>2.2849999999999999E-2</v>
      </c>
    </row>
    <row r="55" spans="1:7" ht="15" customHeight="1" x14ac:dyDescent="0.45">
      <c r="A55" s="8">
        <v>68</v>
      </c>
      <c r="B55" s="9">
        <v>5.2875999999999999E-2</v>
      </c>
      <c r="C55" s="9">
        <v>5.3324000000000003E-2</v>
      </c>
      <c r="D55" s="9">
        <v>3.8151999999999998E-2</v>
      </c>
      <c r="E55" s="9">
        <v>3.27E-2</v>
      </c>
      <c r="F55" s="9">
        <v>2.3195E-2</v>
      </c>
      <c r="G55" s="9">
        <v>2.3195E-2</v>
      </c>
    </row>
    <row r="56" spans="1:7" ht="15" customHeight="1" x14ac:dyDescent="0.45">
      <c r="A56" s="8">
        <v>69</v>
      </c>
      <c r="B56" s="9">
        <v>5.3936999999999999E-2</v>
      </c>
      <c r="C56" s="9">
        <v>5.4232000000000002E-2</v>
      </c>
      <c r="D56" s="9">
        <v>3.8852999999999999E-2</v>
      </c>
      <c r="E56" s="9">
        <v>3.3508999999999997E-2</v>
      </c>
      <c r="F56" s="9">
        <v>2.3431E-2</v>
      </c>
      <c r="G56" s="9">
        <v>2.3431E-2</v>
      </c>
    </row>
    <row r="57" spans="1:7" ht="15" customHeight="1" x14ac:dyDescent="0.45">
      <c r="A57" s="8">
        <v>70</v>
      </c>
      <c r="B57" s="9">
        <v>5.4960000000000002E-2</v>
      </c>
      <c r="C57" s="9">
        <v>5.5119000000000001E-2</v>
      </c>
      <c r="D57" s="9">
        <v>3.9530000000000003E-2</v>
      </c>
      <c r="E57" s="9">
        <v>3.4284000000000002E-2</v>
      </c>
      <c r="F57" s="9">
        <v>2.3557000000000002E-2</v>
      </c>
      <c r="G57" s="9">
        <v>2.3557000000000002E-2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1"/>
  <sheetViews>
    <sheetView tabSelected="1" zoomScaleNormal="100" workbookViewId="0">
      <pane ySplit="1" topLeftCell="A2" activePane="bottomLeft" state="frozen"/>
      <selection pane="bottomLeft" activeCell="R13" sqref="R13"/>
    </sheetView>
  </sheetViews>
  <sheetFormatPr baseColWidth="10" defaultColWidth="8.6640625" defaultRowHeight="14.25" x14ac:dyDescent="0.45"/>
  <cols>
    <col min="1" max="2" width="8" customWidth="1"/>
    <col min="3" max="4" width="14" customWidth="1"/>
  </cols>
  <sheetData>
    <row r="1" spans="1:4" ht="15" customHeight="1" x14ac:dyDescent="0.45">
      <c r="A1" s="7" t="s">
        <v>10</v>
      </c>
      <c r="B1" s="7" t="s">
        <v>27</v>
      </c>
      <c r="C1" s="7" t="s">
        <v>28</v>
      </c>
      <c r="D1" s="7" t="s">
        <v>29</v>
      </c>
    </row>
    <row r="2" spans="1:4" ht="15" customHeight="1" x14ac:dyDescent="0.45">
      <c r="A2" s="8">
        <v>15</v>
      </c>
      <c r="B2" s="8">
        <v>1</v>
      </c>
      <c r="C2" s="11">
        <f>INDEX(paste_RI!$B$2:$K$57,MATCH(MAX($A2,$B2+14),paste_RI!$A$2:$A$57,0),$B2)</f>
        <v>0.149392</v>
      </c>
      <c r="D2" s="11">
        <f>INDEX(paste_TI!$B$2:$G$57,MATCH(MAX($A2,MIN($B2,6)+14),paste_TI!$A$2:$A$57,0),MIN($B2,6))</f>
        <v>5.5989999999999998E-3</v>
      </c>
    </row>
    <row r="3" spans="1:4" ht="15" customHeight="1" x14ac:dyDescent="0.45">
      <c r="A3" s="8">
        <v>15</v>
      </c>
      <c r="B3" s="8">
        <v>2</v>
      </c>
      <c r="C3" s="11">
        <f>INDEX(paste_RI!$B$2:$K$57,MATCH(MAX($A3,$B3+14),paste_RI!$A$2:$A$57,0),$B3)</f>
        <v>0.14854300000000001</v>
      </c>
      <c r="D3" s="11">
        <f>INDEX(paste_TI!$B$2:$G$57,MATCH(MAX($A3,MIN($B3,6)+14),paste_TI!$A$2:$A$57,0),MIN($B3,6))</f>
        <v>1.1845E-2</v>
      </c>
    </row>
    <row r="4" spans="1:4" ht="15" customHeight="1" x14ac:dyDescent="0.45">
      <c r="A4" s="8">
        <v>15</v>
      </c>
      <c r="B4" s="8">
        <v>3</v>
      </c>
      <c r="C4" s="11">
        <f>INDEX(paste_RI!$B$2:$K$57,MATCH(MAX($A4,$B4+14),paste_RI!$A$2:$A$57,0),$B4)</f>
        <v>0.13086800000000001</v>
      </c>
      <c r="D4" s="11">
        <f>INDEX(paste_TI!$B$2:$G$57,MATCH(MAX($A4,MIN($B4,6)+14),paste_TI!$A$2:$A$57,0),MIN($B4,6))</f>
        <v>6.7520000000000002E-3</v>
      </c>
    </row>
    <row r="5" spans="1:4" ht="15" customHeight="1" x14ac:dyDescent="0.45">
      <c r="A5" s="8">
        <v>15</v>
      </c>
      <c r="B5" s="8">
        <v>4</v>
      </c>
      <c r="C5" s="11">
        <f>INDEX(paste_RI!$B$2:$K$57,MATCH(MAX($A5,$B5+14),paste_RI!$A$2:$A$57,0),$B5)</f>
        <v>0.14745800000000001</v>
      </c>
      <c r="D5" s="11">
        <f>INDEX(paste_TI!$B$2:$G$57,MATCH(MAX($A5,MIN($B5,6)+14),paste_TI!$A$2:$A$57,0),MIN($B5,6))</f>
        <v>3.888E-3</v>
      </c>
    </row>
    <row r="6" spans="1:4" ht="15" customHeight="1" x14ac:dyDescent="0.45">
      <c r="A6" s="8">
        <v>15</v>
      </c>
      <c r="B6" s="8">
        <v>5</v>
      </c>
      <c r="C6" s="11">
        <f>INDEX(paste_RI!$B$2:$K$57,MATCH(MAX($A6,$B6+14),paste_RI!$A$2:$A$57,0),$B6)</f>
        <v>0.14718100000000001</v>
      </c>
      <c r="D6" s="11">
        <f>INDEX(paste_TI!$B$2:$G$57,MATCH(MAX($A6,MIN($B6,6)+14),paste_TI!$A$2:$A$57,0),MIN($B6,6))</f>
        <v>3.888E-3</v>
      </c>
    </row>
    <row r="7" spans="1:4" ht="15" customHeight="1" x14ac:dyDescent="0.45">
      <c r="A7" s="8">
        <v>15</v>
      </c>
      <c r="B7" s="8">
        <v>6</v>
      </c>
      <c r="C7" s="11">
        <f>INDEX(paste_RI!$B$2:$K$57,MATCH(MAX($A7,$B7+14),paste_RI!$A$2:$A$57,0),$B7)</f>
        <v>0.12656000000000001</v>
      </c>
      <c r="D7" s="11">
        <f>INDEX(paste_TI!$B$2:$G$57,MATCH(MAX($A7,MIN($B7,6)+14),paste_TI!$A$2:$A$57,0),MIN($B7,6))</f>
        <v>3.888E-3</v>
      </c>
    </row>
    <row r="8" spans="1:4" ht="15" customHeight="1" x14ac:dyDescent="0.45">
      <c r="A8" s="8">
        <v>15</v>
      </c>
      <c r="B8" s="8">
        <v>7</v>
      </c>
      <c r="C8" s="11">
        <f>INDEX(paste_RI!$B$2:$K$57,MATCH(MAX($A8,$B8+14),paste_RI!$A$2:$A$57,0),$B8)</f>
        <v>0.122367</v>
      </c>
      <c r="D8" s="11">
        <f>INDEX(paste_TI!$B$2:$G$57,MATCH(MAX($A8,MIN($B8,6)+14),paste_TI!$A$2:$A$57,0),MIN($B8,6))</f>
        <v>3.888E-3</v>
      </c>
    </row>
    <row r="9" spans="1:4" ht="15" customHeight="1" x14ac:dyDescent="0.45">
      <c r="A9" s="8">
        <v>15</v>
      </c>
      <c r="B9" s="8">
        <v>8</v>
      </c>
      <c r="C9" s="11">
        <f>INDEX(paste_RI!$B$2:$K$57,MATCH(MAX($A9,$B9+14),paste_RI!$A$2:$A$57,0),$B9)</f>
        <v>6.8669999999999995E-2</v>
      </c>
      <c r="D9" s="11">
        <f>INDEX(paste_TI!$B$2:$G$57,MATCH(MAX($A9,MIN($B9,6)+14),paste_TI!$A$2:$A$57,0),MIN($B9,6))</f>
        <v>3.888E-3</v>
      </c>
    </row>
    <row r="10" spans="1:4" ht="15" customHeight="1" x14ac:dyDescent="0.45">
      <c r="A10" s="8">
        <v>15</v>
      </c>
      <c r="B10" s="8">
        <v>9</v>
      </c>
      <c r="C10" s="11">
        <f>INDEX(paste_RI!$B$2:$K$57,MATCH(MAX($A10,$B10+14),paste_RI!$A$2:$A$57,0),$B10)</f>
        <v>6.7712999999999995E-2</v>
      </c>
      <c r="D10" s="11">
        <f>INDEX(paste_TI!$B$2:$G$57,MATCH(MAX($A10,MIN($B10,6)+14),paste_TI!$A$2:$A$57,0),MIN($B10,6))</f>
        <v>3.888E-3</v>
      </c>
    </row>
    <row r="11" spans="1:4" ht="15" customHeight="1" x14ac:dyDescent="0.45">
      <c r="A11" s="8">
        <v>15</v>
      </c>
      <c r="B11" s="8">
        <v>10</v>
      </c>
      <c r="C11" s="11">
        <f>INDEX(paste_RI!$B$2:$K$57,MATCH(MAX($A11,$B11+14),paste_RI!$A$2:$A$57,0),$B11)</f>
        <v>4.9231999999999998E-2</v>
      </c>
      <c r="D11" s="11">
        <f>INDEX(paste_TI!$B$2:$G$57,MATCH(MAX($A11,MIN($B11,6)+14),paste_TI!$A$2:$A$57,0),MIN($B11,6))</f>
        <v>3.888E-3</v>
      </c>
    </row>
    <row r="12" spans="1:4" ht="15" customHeight="1" x14ac:dyDescent="0.45">
      <c r="A12" s="8">
        <v>16</v>
      </c>
      <c r="B12" s="8">
        <v>1</v>
      </c>
      <c r="C12" s="11">
        <f>INDEX(paste_RI!$B$2:$K$57,MATCH(MAX($A12,$B12+14),paste_RI!$A$2:$A$57,0),$B12)</f>
        <v>0.14854300000000001</v>
      </c>
      <c r="D12" s="11">
        <f>INDEX(paste_TI!$B$2:$G$57,MATCH(MAX($A12,MIN($B12,6)+14),paste_TI!$A$2:$A$57,0),MIN($B12,6))</f>
        <v>5.5989999999999998E-3</v>
      </c>
    </row>
    <row r="13" spans="1:4" ht="15" customHeight="1" x14ac:dyDescent="0.45">
      <c r="A13" s="8">
        <v>16</v>
      </c>
      <c r="B13" s="8">
        <v>2</v>
      </c>
      <c r="C13" s="11">
        <f>INDEX(paste_RI!$B$2:$K$57,MATCH(MAX($A13,$B13+14),paste_RI!$A$2:$A$57,0),$B13)</f>
        <v>0.14854300000000001</v>
      </c>
      <c r="D13" s="11">
        <f>INDEX(paste_TI!$B$2:$G$57,MATCH(MAX($A13,MIN($B13,6)+14),paste_TI!$A$2:$A$57,0),MIN($B13,6))</f>
        <v>1.1845E-2</v>
      </c>
    </row>
    <row r="14" spans="1:4" ht="15" customHeight="1" x14ac:dyDescent="0.45">
      <c r="A14" s="8">
        <v>16</v>
      </c>
      <c r="B14" s="8">
        <v>3</v>
      </c>
      <c r="C14" s="11">
        <f>INDEX(paste_RI!$B$2:$K$57,MATCH(MAX($A14,$B14+14),paste_RI!$A$2:$A$57,0),$B14)</f>
        <v>0.13086800000000001</v>
      </c>
      <c r="D14" s="11">
        <f>INDEX(paste_TI!$B$2:$G$57,MATCH(MAX($A14,MIN($B14,6)+14),paste_TI!$A$2:$A$57,0),MIN($B14,6))</f>
        <v>6.7520000000000002E-3</v>
      </c>
    </row>
    <row r="15" spans="1:4" ht="15" customHeight="1" x14ac:dyDescent="0.45">
      <c r="A15" s="8">
        <v>16</v>
      </c>
      <c r="B15" s="8">
        <v>4</v>
      </c>
      <c r="C15" s="11">
        <f>INDEX(paste_RI!$B$2:$K$57,MATCH(MAX($A15,$B15+14),paste_RI!$A$2:$A$57,0),$B15)</f>
        <v>0.14745800000000001</v>
      </c>
      <c r="D15" s="11">
        <f>INDEX(paste_TI!$B$2:$G$57,MATCH(MAX($A15,MIN($B15,6)+14),paste_TI!$A$2:$A$57,0),MIN($B15,6))</f>
        <v>3.888E-3</v>
      </c>
    </row>
    <row r="16" spans="1:4" ht="15" customHeight="1" x14ac:dyDescent="0.45">
      <c r="A16" s="8">
        <v>16</v>
      </c>
      <c r="B16" s="8">
        <v>5</v>
      </c>
      <c r="C16" s="11">
        <f>INDEX(paste_RI!$B$2:$K$57,MATCH(MAX($A16,$B16+14),paste_RI!$A$2:$A$57,0),$B16)</f>
        <v>0.14718100000000001</v>
      </c>
      <c r="D16" s="11">
        <f>INDEX(paste_TI!$B$2:$G$57,MATCH(MAX($A16,MIN($B16,6)+14),paste_TI!$A$2:$A$57,0),MIN($B16,6))</f>
        <v>3.888E-3</v>
      </c>
    </row>
    <row r="17" spans="1:4" ht="15" customHeight="1" x14ac:dyDescent="0.45">
      <c r="A17" s="8">
        <v>16</v>
      </c>
      <c r="B17" s="8">
        <v>6</v>
      </c>
      <c r="C17" s="11">
        <f>INDEX(paste_RI!$B$2:$K$57,MATCH(MAX($A17,$B17+14),paste_RI!$A$2:$A$57,0),$B17)</f>
        <v>0.12656000000000001</v>
      </c>
      <c r="D17" s="11">
        <f>INDEX(paste_TI!$B$2:$G$57,MATCH(MAX($A17,MIN($B17,6)+14),paste_TI!$A$2:$A$57,0),MIN($B17,6))</f>
        <v>3.888E-3</v>
      </c>
    </row>
    <row r="18" spans="1:4" ht="15" customHeight="1" x14ac:dyDescent="0.45">
      <c r="A18" s="8">
        <v>16</v>
      </c>
      <c r="B18" s="8">
        <v>7</v>
      </c>
      <c r="C18" s="11">
        <f>INDEX(paste_RI!$B$2:$K$57,MATCH(MAX($A18,$B18+14),paste_RI!$A$2:$A$57,0),$B18)</f>
        <v>0.122367</v>
      </c>
      <c r="D18" s="11">
        <f>INDEX(paste_TI!$B$2:$G$57,MATCH(MAX($A18,MIN($B18,6)+14),paste_TI!$A$2:$A$57,0),MIN($B18,6))</f>
        <v>3.888E-3</v>
      </c>
    </row>
    <row r="19" spans="1:4" ht="15" customHeight="1" x14ac:dyDescent="0.45">
      <c r="A19" s="8">
        <v>16</v>
      </c>
      <c r="B19" s="8">
        <v>8</v>
      </c>
      <c r="C19" s="11">
        <f>INDEX(paste_RI!$B$2:$K$57,MATCH(MAX($A19,$B19+14),paste_RI!$A$2:$A$57,0),$B19)</f>
        <v>6.8669999999999995E-2</v>
      </c>
      <c r="D19" s="11">
        <f>INDEX(paste_TI!$B$2:$G$57,MATCH(MAX($A19,MIN($B19,6)+14),paste_TI!$A$2:$A$57,0),MIN($B19,6))</f>
        <v>3.888E-3</v>
      </c>
    </row>
    <row r="20" spans="1:4" ht="15" customHeight="1" x14ac:dyDescent="0.45">
      <c r="A20" s="8">
        <v>16</v>
      </c>
      <c r="B20" s="8">
        <v>9</v>
      </c>
      <c r="C20" s="11">
        <f>INDEX(paste_RI!$B$2:$K$57,MATCH(MAX($A20,$B20+14),paste_RI!$A$2:$A$57,0),$B20)</f>
        <v>6.7712999999999995E-2</v>
      </c>
      <c r="D20" s="11">
        <f>INDEX(paste_TI!$B$2:$G$57,MATCH(MAX($A20,MIN($B20,6)+14),paste_TI!$A$2:$A$57,0),MIN($B20,6))</f>
        <v>3.888E-3</v>
      </c>
    </row>
    <row r="21" spans="1:4" ht="15" customHeight="1" x14ac:dyDescent="0.45">
      <c r="A21" s="8">
        <v>16</v>
      </c>
      <c r="B21" s="8">
        <v>10</v>
      </c>
      <c r="C21" s="11">
        <f>INDEX(paste_RI!$B$2:$K$57,MATCH(MAX($A21,$B21+14),paste_RI!$A$2:$A$57,0),$B21)</f>
        <v>4.9231999999999998E-2</v>
      </c>
      <c r="D21" s="11">
        <f>INDEX(paste_TI!$B$2:$G$57,MATCH(MAX($A21,MIN($B21,6)+14),paste_TI!$A$2:$A$57,0),MIN($B21,6))</f>
        <v>3.888E-3</v>
      </c>
    </row>
    <row r="22" spans="1:4" ht="15" customHeight="1" x14ac:dyDescent="0.45">
      <c r="A22" s="8">
        <v>17</v>
      </c>
      <c r="B22" s="8">
        <v>1</v>
      </c>
      <c r="C22" s="11">
        <f>INDEX(paste_RI!$B$2:$K$57,MATCH(MAX($A22,$B22+14),paste_RI!$A$2:$A$57,0),$B22)</f>
        <v>0.147899</v>
      </c>
      <c r="D22" s="11">
        <f>INDEX(paste_TI!$B$2:$G$57,MATCH(MAX($A22,MIN($B22,6)+14),paste_TI!$A$2:$A$57,0),MIN($B22,6))</f>
        <v>5.5989999999999998E-3</v>
      </c>
    </row>
    <row r="23" spans="1:4" ht="15" customHeight="1" x14ac:dyDescent="0.45">
      <c r="A23" s="8">
        <v>17</v>
      </c>
      <c r="B23" s="8">
        <v>2</v>
      </c>
      <c r="C23" s="11">
        <f>INDEX(paste_RI!$B$2:$K$57,MATCH(MAX($A23,$B23+14),paste_RI!$A$2:$A$57,0),$B23)</f>
        <v>0.147899</v>
      </c>
      <c r="D23" s="11">
        <f>INDEX(paste_TI!$B$2:$G$57,MATCH(MAX($A23,MIN($B23,6)+14),paste_TI!$A$2:$A$57,0),MIN($B23,6))</f>
        <v>1.1845E-2</v>
      </c>
    </row>
    <row r="24" spans="1:4" ht="15" customHeight="1" x14ac:dyDescent="0.45">
      <c r="A24" s="8">
        <v>17</v>
      </c>
      <c r="B24" s="8">
        <v>3</v>
      </c>
      <c r="C24" s="11">
        <f>INDEX(paste_RI!$B$2:$K$57,MATCH(MAX($A24,$B24+14),paste_RI!$A$2:$A$57,0),$B24)</f>
        <v>0.13086800000000001</v>
      </c>
      <c r="D24" s="11">
        <f>INDEX(paste_TI!$B$2:$G$57,MATCH(MAX($A24,MIN($B24,6)+14),paste_TI!$A$2:$A$57,0),MIN($B24,6))</f>
        <v>6.7520000000000002E-3</v>
      </c>
    </row>
    <row r="25" spans="1:4" ht="15" customHeight="1" x14ac:dyDescent="0.45">
      <c r="A25" s="8">
        <v>17</v>
      </c>
      <c r="B25" s="8">
        <v>4</v>
      </c>
      <c r="C25" s="11">
        <f>INDEX(paste_RI!$B$2:$K$57,MATCH(MAX($A25,$B25+14),paste_RI!$A$2:$A$57,0),$B25)</f>
        <v>0.14745800000000001</v>
      </c>
      <c r="D25" s="11">
        <f>INDEX(paste_TI!$B$2:$G$57,MATCH(MAX($A25,MIN($B25,6)+14),paste_TI!$A$2:$A$57,0),MIN($B25,6))</f>
        <v>3.888E-3</v>
      </c>
    </row>
    <row r="26" spans="1:4" ht="15" customHeight="1" x14ac:dyDescent="0.45">
      <c r="A26" s="8">
        <v>17</v>
      </c>
      <c r="B26" s="8">
        <v>5</v>
      </c>
      <c r="C26" s="11">
        <f>INDEX(paste_RI!$B$2:$K$57,MATCH(MAX($A26,$B26+14),paste_RI!$A$2:$A$57,0),$B26)</f>
        <v>0.14718100000000001</v>
      </c>
      <c r="D26" s="11">
        <f>INDEX(paste_TI!$B$2:$G$57,MATCH(MAX($A26,MIN($B26,6)+14),paste_TI!$A$2:$A$57,0),MIN($B26,6))</f>
        <v>3.888E-3</v>
      </c>
    </row>
    <row r="27" spans="1:4" ht="15" customHeight="1" x14ac:dyDescent="0.45">
      <c r="A27" s="8">
        <v>17</v>
      </c>
      <c r="B27" s="8">
        <v>6</v>
      </c>
      <c r="C27" s="11">
        <f>INDEX(paste_RI!$B$2:$K$57,MATCH(MAX($A27,$B27+14),paste_RI!$A$2:$A$57,0),$B27)</f>
        <v>0.12656000000000001</v>
      </c>
      <c r="D27" s="11">
        <f>INDEX(paste_TI!$B$2:$G$57,MATCH(MAX($A27,MIN($B27,6)+14),paste_TI!$A$2:$A$57,0),MIN($B27,6))</f>
        <v>3.888E-3</v>
      </c>
    </row>
    <row r="28" spans="1:4" ht="15" customHeight="1" x14ac:dyDescent="0.45">
      <c r="A28" s="8">
        <v>17</v>
      </c>
      <c r="B28" s="8">
        <v>7</v>
      </c>
      <c r="C28" s="11">
        <f>INDEX(paste_RI!$B$2:$K$57,MATCH(MAX($A28,$B28+14),paste_RI!$A$2:$A$57,0),$B28)</f>
        <v>0.122367</v>
      </c>
      <c r="D28" s="11">
        <f>INDEX(paste_TI!$B$2:$G$57,MATCH(MAX($A28,MIN($B28,6)+14),paste_TI!$A$2:$A$57,0),MIN($B28,6))</f>
        <v>3.888E-3</v>
      </c>
    </row>
    <row r="29" spans="1:4" ht="15" customHeight="1" x14ac:dyDescent="0.45">
      <c r="A29" s="8">
        <v>17</v>
      </c>
      <c r="B29" s="8">
        <v>8</v>
      </c>
      <c r="C29" s="11">
        <f>INDEX(paste_RI!$B$2:$K$57,MATCH(MAX($A29,$B29+14),paste_RI!$A$2:$A$57,0),$B29)</f>
        <v>6.8669999999999995E-2</v>
      </c>
      <c r="D29" s="11">
        <f>INDEX(paste_TI!$B$2:$G$57,MATCH(MAX($A29,MIN($B29,6)+14),paste_TI!$A$2:$A$57,0),MIN($B29,6))</f>
        <v>3.888E-3</v>
      </c>
    </row>
    <row r="30" spans="1:4" ht="15" customHeight="1" x14ac:dyDescent="0.45">
      <c r="A30" s="8">
        <v>17</v>
      </c>
      <c r="B30" s="8">
        <v>9</v>
      </c>
      <c r="C30" s="11">
        <f>INDEX(paste_RI!$B$2:$K$57,MATCH(MAX($A30,$B30+14),paste_RI!$A$2:$A$57,0),$B30)</f>
        <v>6.7712999999999995E-2</v>
      </c>
      <c r="D30" s="11">
        <f>INDEX(paste_TI!$B$2:$G$57,MATCH(MAX($A30,MIN($B30,6)+14),paste_TI!$A$2:$A$57,0),MIN($B30,6))</f>
        <v>3.888E-3</v>
      </c>
    </row>
    <row r="31" spans="1:4" ht="15" customHeight="1" x14ac:dyDescent="0.45">
      <c r="A31" s="8">
        <v>17</v>
      </c>
      <c r="B31" s="8">
        <v>10</v>
      </c>
      <c r="C31" s="11">
        <f>INDEX(paste_RI!$B$2:$K$57,MATCH(MAX($A31,$B31+14),paste_RI!$A$2:$A$57,0),$B31)</f>
        <v>4.9231999999999998E-2</v>
      </c>
      <c r="D31" s="11">
        <f>INDEX(paste_TI!$B$2:$G$57,MATCH(MAX($A31,MIN($B31,6)+14),paste_TI!$A$2:$A$57,0),MIN($B31,6))</f>
        <v>3.888E-3</v>
      </c>
    </row>
    <row r="32" spans="1:4" ht="15" customHeight="1" x14ac:dyDescent="0.45">
      <c r="A32" s="8">
        <v>18</v>
      </c>
      <c r="B32" s="8">
        <v>1</v>
      </c>
      <c r="C32" s="11">
        <f>INDEX(paste_RI!$B$2:$K$57,MATCH(MAX($A32,$B32+14),paste_RI!$A$2:$A$57,0),$B32)</f>
        <v>0.14745800000000001</v>
      </c>
      <c r="D32" s="11">
        <f>INDEX(paste_TI!$B$2:$G$57,MATCH(MAX($A32,MIN($B32,6)+14),paste_TI!$A$2:$A$57,0),MIN($B32,6))</f>
        <v>5.5989999999999998E-3</v>
      </c>
    </row>
    <row r="33" spans="1:4" ht="15" customHeight="1" x14ac:dyDescent="0.45">
      <c r="A33" s="8">
        <v>18</v>
      </c>
      <c r="B33" s="8">
        <v>2</v>
      </c>
      <c r="C33" s="11">
        <f>INDEX(paste_RI!$B$2:$K$57,MATCH(MAX($A33,$B33+14),paste_RI!$A$2:$A$57,0),$B33)</f>
        <v>0.14745800000000001</v>
      </c>
      <c r="D33" s="11">
        <f>INDEX(paste_TI!$B$2:$G$57,MATCH(MAX($A33,MIN($B33,6)+14),paste_TI!$A$2:$A$57,0),MIN($B33,6))</f>
        <v>1.1845E-2</v>
      </c>
    </row>
    <row r="34" spans="1:4" ht="15" customHeight="1" x14ac:dyDescent="0.45">
      <c r="A34" s="8">
        <v>18</v>
      </c>
      <c r="B34" s="8">
        <v>3</v>
      </c>
      <c r="C34" s="11">
        <f>INDEX(paste_RI!$B$2:$K$57,MATCH(MAX($A34,$B34+14),paste_RI!$A$2:$A$57,0),$B34)</f>
        <v>0.12923200000000001</v>
      </c>
      <c r="D34" s="11">
        <f>INDEX(paste_TI!$B$2:$G$57,MATCH(MAX($A34,MIN($B34,6)+14),paste_TI!$A$2:$A$57,0),MIN($B34,6))</f>
        <v>6.7520000000000002E-3</v>
      </c>
    </row>
    <row r="35" spans="1:4" ht="15" customHeight="1" x14ac:dyDescent="0.45">
      <c r="A35" s="8">
        <v>18</v>
      </c>
      <c r="B35" s="8">
        <v>4</v>
      </c>
      <c r="C35" s="11">
        <f>INDEX(paste_RI!$B$2:$K$57,MATCH(MAX($A35,$B35+14),paste_RI!$A$2:$A$57,0),$B35)</f>
        <v>0.14745800000000001</v>
      </c>
      <c r="D35" s="11">
        <f>INDEX(paste_TI!$B$2:$G$57,MATCH(MAX($A35,MIN($B35,6)+14),paste_TI!$A$2:$A$57,0),MIN($B35,6))</f>
        <v>3.888E-3</v>
      </c>
    </row>
    <row r="36" spans="1:4" ht="15" customHeight="1" x14ac:dyDescent="0.45">
      <c r="A36" s="8">
        <v>18</v>
      </c>
      <c r="B36" s="8">
        <v>5</v>
      </c>
      <c r="C36" s="11">
        <f>INDEX(paste_RI!$B$2:$K$57,MATCH(MAX($A36,$B36+14),paste_RI!$A$2:$A$57,0),$B36)</f>
        <v>0.14718100000000001</v>
      </c>
      <c r="D36" s="11">
        <f>INDEX(paste_TI!$B$2:$G$57,MATCH(MAX($A36,MIN($B36,6)+14),paste_TI!$A$2:$A$57,0),MIN($B36,6))</f>
        <v>3.888E-3</v>
      </c>
    </row>
    <row r="37" spans="1:4" ht="15" customHeight="1" x14ac:dyDescent="0.45">
      <c r="A37" s="8">
        <v>18</v>
      </c>
      <c r="B37" s="8">
        <v>6</v>
      </c>
      <c r="C37" s="11">
        <f>INDEX(paste_RI!$B$2:$K$57,MATCH(MAX($A37,$B37+14),paste_RI!$A$2:$A$57,0),$B37)</f>
        <v>0.12656000000000001</v>
      </c>
      <c r="D37" s="11">
        <f>INDEX(paste_TI!$B$2:$G$57,MATCH(MAX($A37,MIN($B37,6)+14),paste_TI!$A$2:$A$57,0),MIN($B37,6))</f>
        <v>3.888E-3</v>
      </c>
    </row>
    <row r="38" spans="1:4" ht="15" customHeight="1" x14ac:dyDescent="0.45">
      <c r="A38" s="8">
        <v>18</v>
      </c>
      <c r="B38" s="8">
        <v>7</v>
      </c>
      <c r="C38" s="11">
        <f>INDEX(paste_RI!$B$2:$K$57,MATCH(MAX($A38,$B38+14),paste_RI!$A$2:$A$57,0),$B38)</f>
        <v>0.122367</v>
      </c>
      <c r="D38" s="11">
        <f>INDEX(paste_TI!$B$2:$G$57,MATCH(MAX($A38,MIN($B38,6)+14),paste_TI!$A$2:$A$57,0),MIN($B38,6))</f>
        <v>3.888E-3</v>
      </c>
    </row>
    <row r="39" spans="1:4" ht="15" customHeight="1" x14ac:dyDescent="0.45">
      <c r="A39" s="8">
        <v>18</v>
      </c>
      <c r="B39" s="8">
        <v>8</v>
      </c>
      <c r="C39" s="11">
        <f>INDEX(paste_RI!$B$2:$K$57,MATCH(MAX($A39,$B39+14),paste_RI!$A$2:$A$57,0),$B39)</f>
        <v>6.8669999999999995E-2</v>
      </c>
      <c r="D39" s="11">
        <f>INDEX(paste_TI!$B$2:$G$57,MATCH(MAX($A39,MIN($B39,6)+14),paste_TI!$A$2:$A$57,0),MIN($B39,6))</f>
        <v>3.888E-3</v>
      </c>
    </row>
    <row r="40" spans="1:4" ht="15" customHeight="1" x14ac:dyDescent="0.45">
      <c r="A40" s="8">
        <v>18</v>
      </c>
      <c r="B40" s="8">
        <v>9</v>
      </c>
      <c r="C40" s="11">
        <f>INDEX(paste_RI!$B$2:$K$57,MATCH(MAX($A40,$B40+14),paste_RI!$A$2:$A$57,0),$B40)</f>
        <v>6.7712999999999995E-2</v>
      </c>
      <c r="D40" s="11">
        <f>INDEX(paste_TI!$B$2:$G$57,MATCH(MAX($A40,MIN($B40,6)+14),paste_TI!$A$2:$A$57,0),MIN($B40,6))</f>
        <v>3.888E-3</v>
      </c>
    </row>
    <row r="41" spans="1:4" ht="15" customHeight="1" x14ac:dyDescent="0.45">
      <c r="A41" s="8">
        <v>18</v>
      </c>
      <c r="B41" s="8">
        <v>10</v>
      </c>
      <c r="C41" s="11">
        <f>INDEX(paste_RI!$B$2:$K$57,MATCH(MAX($A41,$B41+14),paste_RI!$A$2:$A$57,0),$B41)</f>
        <v>4.9231999999999998E-2</v>
      </c>
      <c r="D41" s="11">
        <f>INDEX(paste_TI!$B$2:$G$57,MATCH(MAX($A41,MIN($B41,6)+14),paste_TI!$A$2:$A$57,0),MIN($B41,6))</f>
        <v>3.888E-3</v>
      </c>
    </row>
    <row r="42" spans="1:4" ht="15" customHeight="1" x14ac:dyDescent="0.45">
      <c r="A42" s="8">
        <v>19</v>
      </c>
      <c r="B42" s="8">
        <v>1</v>
      </c>
      <c r="C42" s="11">
        <f>INDEX(paste_RI!$B$2:$K$57,MATCH(MAX($A42,$B42+14),paste_RI!$A$2:$A$57,0),$B42)</f>
        <v>0.14718100000000001</v>
      </c>
      <c r="D42" s="11">
        <f>INDEX(paste_TI!$B$2:$G$57,MATCH(MAX($A42,MIN($B42,6)+14),paste_TI!$A$2:$A$57,0),MIN($B42,6))</f>
        <v>5.5989999999999998E-3</v>
      </c>
    </row>
    <row r="43" spans="1:4" ht="15" customHeight="1" x14ac:dyDescent="0.45">
      <c r="A43" s="8">
        <v>19</v>
      </c>
      <c r="B43" s="8">
        <v>2</v>
      </c>
      <c r="C43" s="11">
        <f>INDEX(paste_RI!$B$2:$K$57,MATCH(MAX($A43,$B43+14),paste_RI!$A$2:$A$57,0),$B43)</f>
        <v>0.14718100000000001</v>
      </c>
      <c r="D43" s="11">
        <f>INDEX(paste_TI!$B$2:$G$57,MATCH(MAX($A43,MIN($B43,6)+14),paste_TI!$A$2:$A$57,0),MIN($B43,6))</f>
        <v>1.1845E-2</v>
      </c>
    </row>
    <row r="44" spans="1:4" ht="15" customHeight="1" x14ac:dyDescent="0.45">
      <c r="A44" s="8">
        <v>19</v>
      </c>
      <c r="B44" s="8">
        <v>3</v>
      </c>
      <c r="C44" s="11">
        <f>INDEX(paste_RI!$B$2:$K$57,MATCH(MAX($A44,$B44+14),paste_RI!$A$2:$A$57,0),$B44)</f>
        <v>0.127805</v>
      </c>
      <c r="D44" s="11">
        <f>INDEX(paste_TI!$B$2:$G$57,MATCH(MAX($A44,MIN($B44,6)+14),paste_TI!$A$2:$A$57,0),MIN($B44,6))</f>
        <v>6.7520000000000002E-3</v>
      </c>
    </row>
    <row r="45" spans="1:4" ht="15" customHeight="1" x14ac:dyDescent="0.45">
      <c r="A45" s="8">
        <v>19</v>
      </c>
      <c r="B45" s="8">
        <v>4</v>
      </c>
      <c r="C45" s="11">
        <f>INDEX(paste_RI!$B$2:$K$57,MATCH(MAX($A45,$B45+14),paste_RI!$A$2:$A$57,0),$B45)</f>
        <v>0.14718100000000001</v>
      </c>
      <c r="D45" s="11">
        <f>INDEX(paste_TI!$B$2:$G$57,MATCH(MAX($A45,MIN($B45,6)+14),paste_TI!$A$2:$A$57,0),MIN($B45,6))</f>
        <v>3.888E-3</v>
      </c>
    </row>
    <row r="46" spans="1:4" ht="15" customHeight="1" x14ac:dyDescent="0.45">
      <c r="A46" s="8">
        <v>19</v>
      </c>
      <c r="B46" s="8">
        <v>5</v>
      </c>
      <c r="C46" s="11">
        <f>INDEX(paste_RI!$B$2:$K$57,MATCH(MAX($A46,$B46+14),paste_RI!$A$2:$A$57,0),$B46)</f>
        <v>0.14718100000000001</v>
      </c>
      <c r="D46" s="11">
        <f>INDEX(paste_TI!$B$2:$G$57,MATCH(MAX($A46,MIN($B46,6)+14),paste_TI!$A$2:$A$57,0),MIN($B46,6))</f>
        <v>3.888E-3</v>
      </c>
    </row>
    <row r="47" spans="1:4" ht="15" customHeight="1" x14ac:dyDescent="0.45">
      <c r="A47" s="8">
        <v>19</v>
      </c>
      <c r="B47" s="8">
        <v>6</v>
      </c>
      <c r="C47" s="11">
        <f>INDEX(paste_RI!$B$2:$K$57,MATCH(MAX($A47,$B47+14),paste_RI!$A$2:$A$57,0),$B47)</f>
        <v>0.12656000000000001</v>
      </c>
      <c r="D47" s="11">
        <f>INDEX(paste_TI!$B$2:$G$57,MATCH(MAX($A47,MIN($B47,6)+14),paste_TI!$A$2:$A$57,0),MIN($B47,6))</f>
        <v>3.888E-3</v>
      </c>
    </row>
    <row r="48" spans="1:4" ht="15" customHeight="1" x14ac:dyDescent="0.45">
      <c r="A48" s="8">
        <v>19</v>
      </c>
      <c r="B48" s="8">
        <v>7</v>
      </c>
      <c r="C48" s="11">
        <f>INDEX(paste_RI!$B$2:$K$57,MATCH(MAX($A48,$B48+14),paste_RI!$A$2:$A$57,0),$B48)</f>
        <v>0.122367</v>
      </c>
      <c r="D48" s="11">
        <f>INDEX(paste_TI!$B$2:$G$57,MATCH(MAX($A48,MIN($B48,6)+14),paste_TI!$A$2:$A$57,0),MIN($B48,6))</f>
        <v>3.888E-3</v>
      </c>
    </row>
    <row r="49" spans="1:4" ht="15" customHeight="1" x14ac:dyDescent="0.45">
      <c r="A49" s="8">
        <v>19</v>
      </c>
      <c r="B49" s="8">
        <v>8</v>
      </c>
      <c r="C49" s="11">
        <f>INDEX(paste_RI!$B$2:$K$57,MATCH(MAX($A49,$B49+14),paste_RI!$A$2:$A$57,0),$B49)</f>
        <v>6.8669999999999995E-2</v>
      </c>
      <c r="D49" s="11">
        <f>INDEX(paste_TI!$B$2:$G$57,MATCH(MAX($A49,MIN($B49,6)+14),paste_TI!$A$2:$A$57,0),MIN($B49,6))</f>
        <v>3.888E-3</v>
      </c>
    </row>
    <row r="50" spans="1:4" ht="15" customHeight="1" x14ac:dyDescent="0.45">
      <c r="A50" s="8">
        <v>19</v>
      </c>
      <c r="B50" s="8">
        <v>9</v>
      </c>
      <c r="C50" s="11">
        <f>INDEX(paste_RI!$B$2:$K$57,MATCH(MAX($A50,$B50+14),paste_RI!$A$2:$A$57,0),$B50)</f>
        <v>6.7712999999999995E-2</v>
      </c>
      <c r="D50" s="11">
        <f>INDEX(paste_TI!$B$2:$G$57,MATCH(MAX($A50,MIN($B50,6)+14),paste_TI!$A$2:$A$57,0),MIN($B50,6))</f>
        <v>3.888E-3</v>
      </c>
    </row>
    <row r="51" spans="1:4" ht="15" customHeight="1" x14ac:dyDescent="0.45">
      <c r="A51" s="8">
        <v>19</v>
      </c>
      <c r="B51" s="8">
        <v>10</v>
      </c>
      <c r="C51" s="11">
        <f>INDEX(paste_RI!$B$2:$K$57,MATCH(MAX($A51,$B51+14),paste_RI!$A$2:$A$57,0),$B51)</f>
        <v>4.9231999999999998E-2</v>
      </c>
      <c r="D51" s="11">
        <f>INDEX(paste_TI!$B$2:$G$57,MATCH(MAX($A51,MIN($B51,6)+14),paste_TI!$A$2:$A$57,0),MIN($B51,6))</f>
        <v>3.888E-3</v>
      </c>
    </row>
    <row r="52" spans="1:4" ht="15" customHeight="1" x14ac:dyDescent="0.45">
      <c r="A52" s="8">
        <v>20</v>
      </c>
      <c r="B52" s="8">
        <v>1</v>
      </c>
      <c r="C52" s="11">
        <f>INDEX(paste_RI!$B$2:$K$57,MATCH(MAX($A52,$B52+14),paste_RI!$A$2:$A$57,0),$B52)</f>
        <v>0.14722299999999999</v>
      </c>
      <c r="D52" s="11">
        <f>INDEX(paste_TI!$B$2:$G$57,MATCH(MAX($A52,MIN($B52,6)+14),paste_TI!$A$2:$A$57,0),MIN($B52,6))</f>
        <v>5.5989999999999998E-3</v>
      </c>
    </row>
    <row r="53" spans="1:4" ht="15" customHeight="1" x14ac:dyDescent="0.45">
      <c r="A53" s="8">
        <v>20</v>
      </c>
      <c r="B53" s="8">
        <v>2</v>
      </c>
      <c r="C53" s="11">
        <f>INDEX(paste_RI!$B$2:$K$57,MATCH(MAX($A53,$B53+14),paste_RI!$A$2:$A$57,0),$B53)</f>
        <v>0.14722299999999999</v>
      </c>
      <c r="D53" s="11">
        <f>INDEX(paste_TI!$B$2:$G$57,MATCH(MAX($A53,MIN($B53,6)+14),paste_TI!$A$2:$A$57,0),MIN($B53,6))</f>
        <v>1.1845E-2</v>
      </c>
    </row>
    <row r="54" spans="1:4" ht="15" customHeight="1" x14ac:dyDescent="0.45">
      <c r="A54" s="8">
        <v>20</v>
      </c>
      <c r="B54" s="8">
        <v>3</v>
      </c>
      <c r="C54" s="11">
        <f>INDEX(paste_RI!$B$2:$K$57,MATCH(MAX($A54,$B54+14),paste_RI!$A$2:$A$57,0),$B54)</f>
        <v>0.12656000000000001</v>
      </c>
      <c r="D54" s="11">
        <f>INDEX(paste_TI!$B$2:$G$57,MATCH(MAX($A54,MIN($B54,6)+14),paste_TI!$A$2:$A$57,0),MIN($B54,6))</f>
        <v>6.7520000000000002E-3</v>
      </c>
    </row>
    <row r="55" spans="1:4" ht="15" customHeight="1" x14ac:dyDescent="0.45">
      <c r="A55" s="8">
        <v>20</v>
      </c>
      <c r="B55" s="8">
        <v>4</v>
      </c>
      <c r="C55" s="11">
        <f>INDEX(paste_RI!$B$2:$K$57,MATCH(MAX($A55,$B55+14),paste_RI!$A$2:$A$57,0),$B55)</f>
        <v>0.14722299999999999</v>
      </c>
      <c r="D55" s="11">
        <f>INDEX(paste_TI!$B$2:$G$57,MATCH(MAX($A55,MIN($B55,6)+14),paste_TI!$A$2:$A$57,0),MIN($B55,6))</f>
        <v>3.888E-3</v>
      </c>
    </row>
    <row r="56" spans="1:4" ht="15" customHeight="1" x14ac:dyDescent="0.45">
      <c r="A56" s="8">
        <v>20</v>
      </c>
      <c r="B56" s="8">
        <v>5</v>
      </c>
      <c r="C56" s="11">
        <f>INDEX(paste_RI!$B$2:$K$57,MATCH(MAX($A56,$B56+14),paste_RI!$A$2:$A$57,0),$B56)</f>
        <v>0.14722299999999999</v>
      </c>
      <c r="D56" s="11">
        <f>INDEX(paste_TI!$B$2:$G$57,MATCH(MAX($A56,MIN($B56,6)+14),paste_TI!$A$2:$A$57,0),MIN($B56,6))</f>
        <v>3.888E-3</v>
      </c>
    </row>
    <row r="57" spans="1:4" ht="15" customHeight="1" x14ac:dyDescent="0.45">
      <c r="A57" s="8">
        <v>20</v>
      </c>
      <c r="B57" s="8">
        <v>6</v>
      </c>
      <c r="C57" s="11">
        <f>INDEX(paste_RI!$B$2:$K$57,MATCH(MAX($A57,$B57+14),paste_RI!$A$2:$A$57,0),$B57)</f>
        <v>0.12656000000000001</v>
      </c>
      <c r="D57" s="11">
        <f>INDEX(paste_TI!$B$2:$G$57,MATCH(MAX($A57,MIN($B57,6)+14),paste_TI!$A$2:$A$57,0),MIN($B57,6))</f>
        <v>3.888E-3</v>
      </c>
    </row>
    <row r="58" spans="1:4" ht="15" customHeight="1" x14ac:dyDescent="0.45">
      <c r="A58" s="8">
        <v>20</v>
      </c>
      <c r="B58" s="8">
        <v>7</v>
      </c>
      <c r="C58" s="11">
        <f>INDEX(paste_RI!$B$2:$K$57,MATCH(MAX($A58,$B58+14),paste_RI!$A$2:$A$57,0),$B58)</f>
        <v>0.122367</v>
      </c>
      <c r="D58" s="11">
        <f>INDEX(paste_TI!$B$2:$G$57,MATCH(MAX($A58,MIN($B58,6)+14),paste_TI!$A$2:$A$57,0),MIN($B58,6))</f>
        <v>3.888E-3</v>
      </c>
    </row>
    <row r="59" spans="1:4" ht="15" customHeight="1" x14ac:dyDescent="0.45">
      <c r="A59" s="8">
        <v>20</v>
      </c>
      <c r="B59" s="8">
        <v>8</v>
      </c>
      <c r="C59" s="11">
        <f>INDEX(paste_RI!$B$2:$K$57,MATCH(MAX($A59,$B59+14),paste_RI!$A$2:$A$57,0),$B59)</f>
        <v>6.8669999999999995E-2</v>
      </c>
      <c r="D59" s="11">
        <f>INDEX(paste_TI!$B$2:$G$57,MATCH(MAX($A59,MIN($B59,6)+14),paste_TI!$A$2:$A$57,0),MIN($B59,6))</f>
        <v>3.888E-3</v>
      </c>
    </row>
    <row r="60" spans="1:4" ht="15" customHeight="1" x14ac:dyDescent="0.45">
      <c r="A60" s="8">
        <v>20</v>
      </c>
      <c r="B60" s="8">
        <v>9</v>
      </c>
      <c r="C60" s="11">
        <f>INDEX(paste_RI!$B$2:$K$57,MATCH(MAX($A60,$B60+14),paste_RI!$A$2:$A$57,0),$B60)</f>
        <v>6.7712999999999995E-2</v>
      </c>
      <c r="D60" s="11">
        <f>INDEX(paste_TI!$B$2:$G$57,MATCH(MAX($A60,MIN($B60,6)+14),paste_TI!$A$2:$A$57,0),MIN($B60,6))</f>
        <v>3.888E-3</v>
      </c>
    </row>
    <row r="61" spans="1:4" ht="15" customHeight="1" x14ac:dyDescent="0.45">
      <c r="A61" s="8">
        <v>20</v>
      </c>
      <c r="B61" s="8">
        <v>10</v>
      </c>
      <c r="C61" s="11">
        <f>INDEX(paste_RI!$B$2:$K$57,MATCH(MAX($A61,$B61+14),paste_RI!$A$2:$A$57,0),$B61)</f>
        <v>4.9231999999999998E-2</v>
      </c>
      <c r="D61" s="11">
        <f>INDEX(paste_TI!$B$2:$G$57,MATCH(MAX($A61,MIN($B61,6)+14),paste_TI!$A$2:$A$57,0),MIN($B61,6))</f>
        <v>3.888E-3</v>
      </c>
    </row>
    <row r="62" spans="1:4" ht="15" customHeight="1" x14ac:dyDescent="0.45">
      <c r="A62" s="8">
        <v>21</v>
      </c>
      <c r="B62" s="8">
        <v>1</v>
      </c>
      <c r="C62" s="11">
        <f>INDEX(paste_RI!$B$2:$K$57,MATCH(MAX($A62,$B62+14),paste_RI!$A$2:$A$57,0),$B62)</f>
        <v>0.14735899999999999</v>
      </c>
      <c r="D62" s="11">
        <f>INDEX(paste_TI!$B$2:$G$57,MATCH(MAX($A62,MIN($B62,6)+14),paste_TI!$A$2:$A$57,0),MIN($B62,6))</f>
        <v>5.5989999999999998E-3</v>
      </c>
    </row>
    <row r="63" spans="1:4" ht="15" customHeight="1" x14ac:dyDescent="0.45">
      <c r="A63" s="8">
        <v>21</v>
      </c>
      <c r="B63" s="8">
        <v>2</v>
      </c>
      <c r="C63" s="11">
        <f>INDEX(paste_RI!$B$2:$K$57,MATCH(MAX($A63,$B63+14),paste_RI!$A$2:$A$57,0),$B63)</f>
        <v>0.14735899999999999</v>
      </c>
      <c r="D63" s="11">
        <f>INDEX(paste_TI!$B$2:$G$57,MATCH(MAX($A63,MIN($B63,6)+14),paste_TI!$A$2:$A$57,0),MIN($B63,6))</f>
        <v>1.1845E-2</v>
      </c>
    </row>
    <row r="64" spans="1:4" ht="15" customHeight="1" x14ac:dyDescent="0.45">
      <c r="A64" s="8">
        <v>21</v>
      </c>
      <c r="B64" s="8">
        <v>3</v>
      </c>
      <c r="C64" s="11">
        <f>INDEX(paste_RI!$B$2:$K$57,MATCH(MAX($A64,$B64+14),paste_RI!$A$2:$A$57,0),$B64)</f>
        <v>0.12560299999999999</v>
      </c>
      <c r="D64" s="11">
        <f>INDEX(paste_TI!$B$2:$G$57,MATCH(MAX($A64,MIN($B64,6)+14),paste_TI!$A$2:$A$57,0),MIN($B64,6))</f>
        <v>6.7520000000000002E-3</v>
      </c>
    </row>
    <row r="65" spans="1:4" ht="15" customHeight="1" x14ac:dyDescent="0.45">
      <c r="A65" s="8">
        <v>21</v>
      </c>
      <c r="B65" s="8">
        <v>4</v>
      </c>
      <c r="C65" s="11">
        <f>INDEX(paste_RI!$B$2:$K$57,MATCH(MAX($A65,$B65+14),paste_RI!$A$2:$A$57,0),$B65)</f>
        <v>0.14735899999999999</v>
      </c>
      <c r="D65" s="11">
        <f>INDEX(paste_TI!$B$2:$G$57,MATCH(MAX($A65,MIN($B65,6)+14),paste_TI!$A$2:$A$57,0),MIN($B65,6))</f>
        <v>3.888E-3</v>
      </c>
    </row>
    <row r="66" spans="1:4" ht="15" customHeight="1" x14ac:dyDescent="0.45">
      <c r="A66" s="8">
        <v>21</v>
      </c>
      <c r="B66" s="8">
        <v>5</v>
      </c>
      <c r="C66" s="11">
        <f>INDEX(paste_RI!$B$2:$K$57,MATCH(MAX($A66,$B66+14),paste_RI!$A$2:$A$57,0),$B66)</f>
        <v>0.14735899999999999</v>
      </c>
      <c r="D66" s="11">
        <f>INDEX(paste_TI!$B$2:$G$57,MATCH(MAX($A66,MIN($B66,6)+14),paste_TI!$A$2:$A$57,0),MIN($B66,6))</f>
        <v>3.888E-3</v>
      </c>
    </row>
    <row r="67" spans="1:4" ht="15" customHeight="1" x14ac:dyDescent="0.45">
      <c r="A67" s="8">
        <v>21</v>
      </c>
      <c r="B67" s="8">
        <v>6</v>
      </c>
      <c r="C67" s="11">
        <f>INDEX(paste_RI!$B$2:$K$57,MATCH(MAX($A67,$B67+14),paste_RI!$A$2:$A$57,0),$B67)</f>
        <v>0.12560299999999999</v>
      </c>
      <c r="D67" s="11">
        <f>INDEX(paste_TI!$B$2:$G$57,MATCH(MAX($A67,MIN($B67,6)+14),paste_TI!$A$2:$A$57,0),MIN($B67,6))</f>
        <v>3.888E-3</v>
      </c>
    </row>
    <row r="68" spans="1:4" ht="15" customHeight="1" x14ac:dyDescent="0.45">
      <c r="A68" s="8">
        <v>21</v>
      </c>
      <c r="B68" s="8">
        <v>7</v>
      </c>
      <c r="C68" s="11">
        <f>INDEX(paste_RI!$B$2:$K$57,MATCH(MAX($A68,$B68+14),paste_RI!$A$2:$A$57,0),$B68)</f>
        <v>0.122367</v>
      </c>
      <c r="D68" s="11">
        <f>INDEX(paste_TI!$B$2:$G$57,MATCH(MAX($A68,MIN($B68,6)+14),paste_TI!$A$2:$A$57,0),MIN($B68,6))</f>
        <v>3.888E-3</v>
      </c>
    </row>
    <row r="69" spans="1:4" ht="15" customHeight="1" x14ac:dyDescent="0.45">
      <c r="A69" s="8">
        <v>21</v>
      </c>
      <c r="B69" s="8">
        <v>8</v>
      </c>
      <c r="C69" s="11">
        <f>INDEX(paste_RI!$B$2:$K$57,MATCH(MAX($A69,$B69+14),paste_RI!$A$2:$A$57,0),$B69)</f>
        <v>6.8669999999999995E-2</v>
      </c>
      <c r="D69" s="11">
        <f>INDEX(paste_TI!$B$2:$G$57,MATCH(MAX($A69,MIN($B69,6)+14),paste_TI!$A$2:$A$57,0),MIN($B69,6))</f>
        <v>3.888E-3</v>
      </c>
    </row>
    <row r="70" spans="1:4" ht="15" customHeight="1" x14ac:dyDescent="0.45">
      <c r="A70" s="8">
        <v>21</v>
      </c>
      <c r="B70" s="8">
        <v>9</v>
      </c>
      <c r="C70" s="11">
        <f>INDEX(paste_RI!$B$2:$K$57,MATCH(MAX($A70,$B70+14),paste_RI!$A$2:$A$57,0),$B70)</f>
        <v>6.7712999999999995E-2</v>
      </c>
      <c r="D70" s="11">
        <f>INDEX(paste_TI!$B$2:$G$57,MATCH(MAX($A70,MIN($B70,6)+14),paste_TI!$A$2:$A$57,0),MIN($B70,6))</f>
        <v>3.888E-3</v>
      </c>
    </row>
    <row r="71" spans="1:4" ht="15" customHeight="1" x14ac:dyDescent="0.45">
      <c r="A71" s="8">
        <v>21</v>
      </c>
      <c r="B71" s="8">
        <v>10</v>
      </c>
      <c r="C71" s="11">
        <f>INDEX(paste_RI!$B$2:$K$57,MATCH(MAX($A71,$B71+14),paste_RI!$A$2:$A$57,0),$B71)</f>
        <v>4.9231999999999998E-2</v>
      </c>
      <c r="D71" s="11">
        <f>INDEX(paste_TI!$B$2:$G$57,MATCH(MAX($A71,MIN($B71,6)+14),paste_TI!$A$2:$A$57,0),MIN($B71,6))</f>
        <v>3.888E-3</v>
      </c>
    </row>
    <row r="72" spans="1:4" ht="15" customHeight="1" x14ac:dyDescent="0.45">
      <c r="A72" s="8">
        <v>22</v>
      </c>
      <c r="B72" s="8">
        <v>1</v>
      </c>
      <c r="C72" s="11">
        <f>INDEX(paste_RI!$B$2:$K$57,MATCH(MAX($A72,$B72+14),paste_RI!$A$2:$A$57,0),$B72)</f>
        <v>0.14768000000000001</v>
      </c>
      <c r="D72" s="11">
        <f>INDEX(paste_TI!$B$2:$G$57,MATCH(MAX($A72,MIN($B72,6)+14),paste_TI!$A$2:$A$57,0),MIN($B72,6))</f>
        <v>5.5989999999999998E-3</v>
      </c>
    </row>
    <row r="73" spans="1:4" ht="15" customHeight="1" x14ac:dyDescent="0.45">
      <c r="A73" s="8">
        <v>22</v>
      </c>
      <c r="B73" s="8">
        <v>2</v>
      </c>
      <c r="C73" s="11">
        <f>INDEX(paste_RI!$B$2:$K$57,MATCH(MAX($A73,$B73+14),paste_RI!$A$2:$A$57,0),$B73)</f>
        <v>0.14768000000000001</v>
      </c>
      <c r="D73" s="11">
        <f>INDEX(paste_TI!$B$2:$G$57,MATCH(MAX($A73,MIN($B73,6)+14),paste_TI!$A$2:$A$57,0),MIN($B73,6))</f>
        <v>1.1845E-2</v>
      </c>
    </row>
    <row r="74" spans="1:4" ht="15" customHeight="1" x14ac:dyDescent="0.45">
      <c r="A74" s="8">
        <v>22</v>
      </c>
      <c r="B74" s="8">
        <v>3</v>
      </c>
      <c r="C74" s="11">
        <f>INDEX(paste_RI!$B$2:$K$57,MATCH(MAX($A74,$B74+14),paste_RI!$A$2:$A$57,0),$B74)</f>
        <v>0.124712</v>
      </c>
      <c r="D74" s="11">
        <f>INDEX(paste_TI!$B$2:$G$57,MATCH(MAX($A74,MIN($B74,6)+14),paste_TI!$A$2:$A$57,0),MIN($B74,6))</f>
        <v>6.7520000000000002E-3</v>
      </c>
    </row>
    <row r="75" spans="1:4" ht="15" customHeight="1" x14ac:dyDescent="0.45">
      <c r="A75" s="8">
        <v>22</v>
      </c>
      <c r="B75" s="8">
        <v>4</v>
      </c>
      <c r="C75" s="11">
        <f>INDEX(paste_RI!$B$2:$K$57,MATCH(MAX($A75,$B75+14),paste_RI!$A$2:$A$57,0),$B75)</f>
        <v>0.14768000000000001</v>
      </c>
      <c r="D75" s="11">
        <f>INDEX(paste_TI!$B$2:$G$57,MATCH(MAX($A75,MIN($B75,6)+14),paste_TI!$A$2:$A$57,0),MIN($B75,6))</f>
        <v>3.888E-3</v>
      </c>
    </row>
    <row r="76" spans="1:4" ht="15" customHeight="1" x14ac:dyDescent="0.45">
      <c r="A76" s="8">
        <v>22</v>
      </c>
      <c r="B76" s="8">
        <v>5</v>
      </c>
      <c r="C76" s="11">
        <f>INDEX(paste_RI!$B$2:$K$57,MATCH(MAX($A76,$B76+14),paste_RI!$A$2:$A$57,0),$B76)</f>
        <v>0.14768000000000001</v>
      </c>
      <c r="D76" s="11">
        <f>INDEX(paste_TI!$B$2:$G$57,MATCH(MAX($A76,MIN($B76,6)+14),paste_TI!$A$2:$A$57,0),MIN($B76,6))</f>
        <v>3.888E-3</v>
      </c>
    </row>
    <row r="77" spans="1:4" ht="15" customHeight="1" x14ac:dyDescent="0.45">
      <c r="A77" s="8">
        <v>22</v>
      </c>
      <c r="B77" s="8">
        <v>6</v>
      </c>
      <c r="C77" s="11">
        <f>INDEX(paste_RI!$B$2:$K$57,MATCH(MAX($A77,$B77+14),paste_RI!$A$2:$A$57,0),$B77)</f>
        <v>0.124712</v>
      </c>
      <c r="D77" s="11">
        <f>INDEX(paste_TI!$B$2:$G$57,MATCH(MAX($A77,MIN($B77,6)+14),paste_TI!$A$2:$A$57,0),MIN($B77,6))</f>
        <v>3.888E-3</v>
      </c>
    </row>
    <row r="78" spans="1:4" ht="15" customHeight="1" x14ac:dyDescent="0.45">
      <c r="A78" s="8">
        <v>22</v>
      </c>
      <c r="B78" s="8">
        <v>7</v>
      </c>
      <c r="C78" s="11">
        <f>INDEX(paste_RI!$B$2:$K$57,MATCH(MAX($A78,$B78+14),paste_RI!$A$2:$A$57,0),$B78)</f>
        <v>0.117824</v>
      </c>
      <c r="D78" s="11">
        <f>INDEX(paste_TI!$B$2:$G$57,MATCH(MAX($A78,MIN($B78,6)+14),paste_TI!$A$2:$A$57,0),MIN($B78,6))</f>
        <v>3.888E-3</v>
      </c>
    </row>
    <row r="79" spans="1:4" ht="15" customHeight="1" x14ac:dyDescent="0.45">
      <c r="A79" s="8">
        <v>22</v>
      </c>
      <c r="B79" s="8">
        <v>8</v>
      </c>
      <c r="C79" s="11">
        <f>INDEX(paste_RI!$B$2:$K$57,MATCH(MAX($A79,$B79+14),paste_RI!$A$2:$A$57,0),$B79)</f>
        <v>6.8669999999999995E-2</v>
      </c>
      <c r="D79" s="11">
        <f>INDEX(paste_TI!$B$2:$G$57,MATCH(MAX($A79,MIN($B79,6)+14),paste_TI!$A$2:$A$57,0),MIN($B79,6))</f>
        <v>3.888E-3</v>
      </c>
    </row>
    <row r="80" spans="1:4" ht="15" customHeight="1" x14ac:dyDescent="0.45">
      <c r="A80" s="8">
        <v>22</v>
      </c>
      <c r="B80" s="8">
        <v>9</v>
      </c>
      <c r="C80" s="11">
        <f>INDEX(paste_RI!$B$2:$K$57,MATCH(MAX($A80,$B80+14),paste_RI!$A$2:$A$57,0),$B80)</f>
        <v>6.7712999999999995E-2</v>
      </c>
      <c r="D80" s="11">
        <f>INDEX(paste_TI!$B$2:$G$57,MATCH(MAX($A80,MIN($B80,6)+14),paste_TI!$A$2:$A$57,0),MIN($B80,6))</f>
        <v>3.888E-3</v>
      </c>
    </row>
    <row r="81" spans="1:4" ht="15" customHeight="1" x14ac:dyDescent="0.45">
      <c r="A81" s="8">
        <v>22</v>
      </c>
      <c r="B81" s="8">
        <v>10</v>
      </c>
      <c r="C81" s="11">
        <f>INDEX(paste_RI!$B$2:$K$57,MATCH(MAX($A81,$B81+14),paste_RI!$A$2:$A$57,0),$B81)</f>
        <v>4.9231999999999998E-2</v>
      </c>
      <c r="D81" s="11">
        <f>INDEX(paste_TI!$B$2:$G$57,MATCH(MAX($A81,MIN($B81,6)+14),paste_TI!$A$2:$A$57,0),MIN($B81,6))</f>
        <v>3.888E-3</v>
      </c>
    </row>
    <row r="82" spans="1:4" ht="15" customHeight="1" x14ac:dyDescent="0.45">
      <c r="A82" s="8">
        <v>23</v>
      </c>
      <c r="B82" s="8">
        <v>1</v>
      </c>
      <c r="C82" s="11">
        <f>INDEX(paste_RI!$B$2:$K$57,MATCH(MAX($A82,$B82+14),paste_RI!$A$2:$A$57,0),$B82)</f>
        <v>0.148233</v>
      </c>
      <c r="D82" s="11">
        <f>INDEX(paste_TI!$B$2:$G$57,MATCH(MAX($A82,MIN($B82,6)+14),paste_TI!$A$2:$A$57,0),MIN($B82,6))</f>
        <v>5.5989999999999998E-3</v>
      </c>
    </row>
    <row r="83" spans="1:4" ht="15" customHeight="1" x14ac:dyDescent="0.45">
      <c r="A83" s="8">
        <v>23</v>
      </c>
      <c r="B83" s="8">
        <v>2</v>
      </c>
      <c r="C83" s="11">
        <f>INDEX(paste_RI!$B$2:$K$57,MATCH(MAX($A83,$B83+14),paste_RI!$A$2:$A$57,0),$B83)</f>
        <v>0.148233</v>
      </c>
      <c r="D83" s="11">
        <f>INDEX(paste_TI!$B$2:$G$57,MATCH(MAX($A83,MIN($B83,6)+14),paste_TI!$A$2:$A$57,0),MIN($B83,6))</f>
        <v>1.1845E-2</v>
      </c>
    </row>
    <row r="84" spans="1:4" ht="15" customHeight="1" x14ac:dyDescent="0.45">
      <c r="A84" s="8">
        <v>23</v>
      </c>
      <c r="B84" s="8">
        <v>3</v>
      </c>
      <c r="C84" s="11">
        <f>INDEX(paste_RI!$B$2:$K$57,MATCH(MAX($A84,$B84+14),paste_RI!$A$2:$A$57,0),$B84)</f>
        <v>0.12404</v>
      </c>
      <c r="D84" s="11">
        <f>INDEX(paste_TI!$B$2:$G$57,MATCH(MAX($A84,MIN($B84,6)+14),paste_TI!$A$2:$A$57,0),MIN($B84,6))</f>
        <v>6.7520000000000002E-3</v>
      </c>
    </row>
    <row r="85" spans="1:4" ht="15" customHeight="1" x14ac:dyDescent="0.45">
      <c r="A85" s="8">
        <v>23</v>
      </c>
      <c r="B85" s="8">
        <v>4</v>
      </c>
      <c r="C85" s="11">
        <f>INDEX(paste_RI!$B$2:$K$57,MATCH(MAX($A85,$B85+14),paste_RI!$A$2:$A$57,0),$B85)</f>
        <v>0.148233</v>
      </c>
      <c r="D85" s="11">
        <f>INDEX(paste_TI!$B$2:$G$57,MATCH(MAX($A85,MIN($B85,6)+14),paste_TI!$A$2:$A$57,0),MIN($B85,6))</f>
        <v>3.888E-3</v>
      </c>
    </row>
    <row r="86" spans="1:4" ht="15" customHeight="1" x14ac:dyDescent="0.45">
      <c r="A86" s="8">
        <v>23</v>
      </c>
      <c r="B86" s="8">
        <v>5</v>
      </c>
      <c r="C86" s="11">
        <f>INDEX(paste_RI!$B$2:$K$57,MATCH(MAX($A86,$B86+14),paste_RI!$A$2:$A$57,0),$B86)</f>
        <v>0.148233</v>
      </c>
      <c r="D86" s="11">
        <f>INDEX(paste_TI!$B$2:$G$57,MATCH(MAX($A86,MIN($B86,6)+14),paste_TI!$A$2:$A$57,0),MIN($B86,6))</f>
        <v>3.888E-3</v>
      </c>
    </row>
    <row r="87" spans="1:4" ht="15" customHeight="1" x14ac:dyDescent="0.45">
      <c r="A87" s="8">
        <v>23</v>
      </c>
      <c r="B87" s="8">
        <v>6</v>
      </c>
      <c r="C87" s="11">
        <f>INDEX(paste_RI!$B$2:$K$57,MATCH(MAX($A87,$B87+14),paste_RI!$A$2:$A$57,0),$B87)</f>
        <v>0.12404</v>
      </c>
      <c r="D87" s="11">
        <f>INDEX(paste_TI!$B$2:$G$57,MATCH(MAX($A87,MIN($B87,6)+14),paste_TI!$A$2:$A$57,0),MIN($B87,6))</f>
        <v>3.888E-3</v>
      </c>
    </row>
    <row r="88" spans="1:4" ht="15" customHeight="1" x14ac:dyDescent="0.45">
      <c r="A88" s="8">
        <v>23</v>
      </c>
      <c r="B88" s="8">
        <v>7</v>
      </c>
      <c r="C88" s="11">
        <f>INDEX(paste_RI!$B$2:$K$57,MATCH(MAX($A88,$B88+14),paste_RI!$A$2:$A$57,0),$B88)</f>
        <v>0.11289100000000001</v>
      </c>
      <c r="D88" s="11">
        <f>INDEX(paste_TI!$B$2:$G$57,MATCH(MAX($A88,MIN($B88,6)+14),paste_TI!$A$2:$A$57,0),MIN($B88,6))</f>
        <v>3.888E-3</v>
      </c>
    </row>
    <row r="89" spans="1:4" ht="15" customHeight="1" x14ac:dyDescent="0.45">
      <c r="A89" s="8">
        <v>23</v>
      </c>
      <c r="B89" s="8">
        <v>8</v>
      </c>
      <c r="C89" s="11">
        <f>INDEX(paste_RI!$B$2:$K$57,MATCH(MAX($A89,$B89+14),paste_RI!$A$2:$A$57,0),$B89)</f>
        <v>6.7712999999999995E-2</v>
      </c>
      <c r="D89" s="11">
        <f>INDEX(paste_TI!$B$2:$G$57,MATCH(MAX($A89,MIN($B89,6)+14),paste_TI!$A$2:$A$57,0),MIN($B89,6))</f>
        <v>3.888E-3</v>
      </c>
    </row>
    <row r="90" spans="1:4" ht="15" customHeight="1" x14ac:dyDescent="0.45">
      <c r="A90" s="8">
        <v>23</v>
      </c>
      <c r="B90" s="8">
        <v>9</v>
      </c>
      <c r="C90" s="11">
        <f>INDEX(paste_RI!$B$2:$K$57,MATCH(MAX($A90,$B90+14),paste_RI!$A$2:$A$57,0),$B90)</f>
        <v>6.7712999999999995E-2</v>
      </c>
      <c r="D90" s="11">
        <f>INDEX(paste_TI!$B$2:$G$57,MATCH(MAX($A90,MIN($B90,6)+14),paste_TI!$A$2:$A$57,0),MIN($B90,6))</f>
        <v>3.888E-3</v>
      </c>
    </row>
    <row r="91" spans="1:4" ht="15" customHeight="1" x14ac:dyDescent="0.45">
      <c r="A91" s="8">
        <v>23</v>
      </c>
      <c r="B91" s="8">
        <v>10</v>
      </c>
      <c r="C91" s="11">
        <f>INDEX(paste_RI!$B$2:$K$57,MATCH(MAX($A91,$B91+14),paste_RI!$A$2:$A$57,0),$B91)</f>
        <v>4.9231999999999998E-2</v>
      </c>
      <c r="D91" s="11">
        <f>INDEX(paste_TI!$B$2:$G$57,MATCH(MAX($A91,MIN($B91,6)+14),paste_TI!$A$2:$A$57,0),MIN($B91,6))</f>
        <v>3.888E-3</v>
      </c>
    </row>
    <row r="92" spans="1:4" ht="15" customHeight="1" x14ac:dyDescent="0.45">
      <c r="A92" s="8">
        <v>24</v>
      </c>
      <c r="B92" s="8">
        <v>1</v>
      </c>
      <c r="C92" s="11">
        <f>INDEX(paste_RI!$B$2:$K$57,MATCH(MAX($A92,$B92+14),paste_RI!$A$2:$A$57,0),$B92)</f>
        <v>0.14899699999999999</v>
      </c>
      <c r="D92" s="11">
        <f>INDEX(paste_TI!$B$2:$G$57,MATCH(MAX($A92,MIN($B92,6)+14),paste_TI!$A$2:$A$57,0),MIN($B92,6))</f>
        <v>5.5989999999999998E-3</v>
      </c>
    </row>
    <row r="93" spans="1:4" ht="15" customHeight="1" x14ac:dyDescent="0.45">
      <c r="A93" s="8">
        <v>24</v>
      </c>
      <c r="B93" s="8">
        <v>2</v>
      </c>
      <c r="C93" s="11">
        <f>INDEX(paste_RI!$B$2:$K$57,MATCH(MAX($A93,$B93+14),paste_RI!$A$2:$A$57,0),$B93)</f>
        <v>0.14899699999999999</v>
      </c>
      <c r="D93" s="11">
        <f>INDEX(paste_TI!$B$2:$G$57,MATCH(MAX($A93,MIN($B93,6)+14),paste_TI!$A$2:$A$57,0),MIN($B93,6))</f>
        <v>1.1845E-2</v>
      </c>
    </row>
    <row r="94" spans="1:4" ht="15" customHeight="1" x14ac:dyDescent="0.45">
      <c r="A94" s="8">
        <v>24</v>
      </c>
      <c r="B94" s="8">
        <v>3</v>
      </c>
      <c r="C94" s="11">
        <f>INDEX(paste_RI!$B$2:$K$57,MATCH(MAX($A94,$B94+14),paste_RI!$A$2:$A$57,0),$B94)</f>
        <v>0.123616</v>
      </c>
      <c r="D94" s="11">
        <f>INDEX(paste_TI!$B$2:$G$57,MATCH(MAX($A94,MIN($B94,6)+14),paste_TI!$A$2:$A$57,0),MIN($B94,6))</f>
        <v>6.7520000000000002E-3</v>
      </c>
    </row>
    <row r="95" spans="1:4" ht="15" customHeight="1" x14ac:dyDescent="0.45">
      <c r="A95" s="8">
        <v>24</v>
      </c>
      <c r="B95" s="8">
        <v>4</v>
      </c>
      <c r="C95" s="11">
        <f>INDEX(paste_RI!$B$2:$K$57,MATCH(MAX($A95,$B95+14),paste_RI!$A$2:$A$57,0),$B95)</f>
        <v>0.14899699999999999</v>
      </c>
      <c r="D95" s="11">
        <f>INDEX(paste_TI!$B$2:$G$57,MATCH(MAX($A95,MIN($B95,6)+14),paste_TI!$A$2:$A$57,0),MIN($B95,6))</f>
        <v>3.888E-3</v>
      </c>
    </row>
    <row r="96" spans="1:4" ht="15" customHeight="1" x14ac:dyDescent="0.45">
      <c r="A96" s="8">
        <v>24</v>
      </c>
      <c r="B96" s="8">
        <v>5</v>
      </c>
      <c r="C96" s="11">
        <f>INDEX(paste_RI!$B$2:$K$57,MATCH(MAX($A96,$B96+14),paste_RI!$A$2:$A$57,0),$B96)</f>
        <v>0.14899699999999999</v>
      </c>
      <c r="D96" s="11">
        <f>INDEX(paste_TI!$B$2:$G$57,MATCH(MAX($A96,MIN($B96,6)+14),paste_TI!$A$2:$A$57,0),MIN($B96,6))</f>
        <v>3.888E-3</v>
      </c>
    </row>
    <row r="97" spans="1:4" ht="15" customHeight="1" x14ac:dyDescent="0.45">
      <c r="A97" s="8">
        <v>24</v>
      </c>
      <c r="B97" s="8">
        <v>6</v>
      </c>
      <c r="C97" s="11">
        <f>INDEX(paste_RI!$B$2:$K$57,MATCH(MAX($A97,$B97+14),paste_RI!$A$2:$A$57,0),$B97)</f>
        <v>0.123616</v>
      </c>
      <c r="D97" s="11">
        <f>INDEX(paste_TI!$B$2:$G$57,MATCH(MAX($A97,MIN($B97,6)+14),paste_TI!$A$2:$A$57,0),MIN($B97,6))</f>
        <v>3.888E-3</v>
      </c>
    </row>
    <row r="98" spans="1:4" ht="15" customHeight="1" x14ac:dyDescent="0.45">
      <c r="A98" s="8">
        <v>24</v>
      </c>
      <c r="B98" s="8">
        <v>7</v>
      </c>
      <c r="C98" s="11">
        <f>INDEX(paste_RI!$B$2:$K$57,MATCH(MAX($A98,$B98+14),paste_RI!$A$2:$A$57,0),$B98)</f>
        <v>0.10767699999999999</v>
      </c>
      <c r="D98" s="11">
        <f>INDEX(paste_TI!$B$2:$G$57,MATCH(MAX($A98,MIN($B98,6)+14),paste_TI!$A$2:$A$57,0),MIN($B98,6))</f>
        <v>3.888E-3</v>
      </c>
    </row>
    <row r="99" spans="1:4" ht="15" customHeight="1" x14ac:dyDescent="0.45">
      <c r="A99" s="8">
        <v>24</v>
      </c>
      <c r="B99" s="8">
        <v>8</v>
      </c>
      <c r="C99" s="11">
        <f>INDEX(paste_RI!$B$2:$K$57,MATCH(MAX($A99,$B99+14),paste_RI!$A$2:$A$57,0),$B99)</f>
        <v>6.6498000000000002E-2</v>
      </c>
      <c r="D99" s="11">
        <f>INDEX(paste_TI!$B$2:$G$57,MATCH(MAX($A99,MIN($B99,6)+14),paste_TI!$A$2:$A$57,0),MIN($B99,6))</f>
        <v>3.888E-3</v>
      </c>
    </row>
    <row r="100" spans="1:4" ht="15" customHeight="1" x14ac:dyDescent="0.45">
      <c r="A100" s="8">
        <v>24</v>
      </c>
      <c r="B100" s="8">
        <v>9</v>
      </c>
      <c r="C100" s="11">
        <f>INDEX(paste_RI!$B$2:$K$57,MATCH(MAX($A100,$B100+14),paste_RI!$A$2:$A$57,0),$B100)</f>
        <v>6.6498000000000002E-2</v>
      </c>
      <c r="D100" s="11">
        <f>INDEX(paste_TI!$B$2:$G$57,MATCH(MAX($A100,MIN($B100,6)+14),paste_TI!$A$2:$A$57,0),MIN($B100,6))</f>
        <v>3.888E-3</v>
      </c>
    </row>
    <row r="101" spans="1:4" ht="15" customHeight="1" x14ac:dyDescent="0.45">
      <c r="A101" s="8">
        <v>24</v>
      </c>
      <c r="B101" s="8">
        <v>10</v>
      </c>
      <c r="C101" s="11">
        <f>INDEX(paste_RI!$B$2:$K$57,MATCH(MAX($A101,$B101+14),paste_RI!$A$2:$A$57,0),$B101)</f>
        <v>4.9231999999999998E-2</v>
      </c>
      <c r="D101" s="11">
        <f>INDEX(paste_TI!$B$2:$G$57,MATCH(MAX($A101,MIN($B101,6)+14),paste_TI!$A$2:$A$57,0),MIN($B101,6))</f>
        <v>3.888E-3</v>
      </c>
    </row>
    <row r="102" spans="1:4" ht="15" customHeight="1" x14ac:dyDescent="0.45">
      <c r="A102" s="8">
        <v>25</v>
      </c>
      <c r="B102" s="8">
        <v>1</v>
      </c>
      <c r="C102" s="11">
        <f>INDEX(paste_RI!$B$2:$K$57,MATCH(MAX($A102,$B102+14),paste_RI!$A$2:$A$57,0),$B102)</f>
        <v>0.15001500000000001</v>
      </c>
      <c r="D102" s="11">
        <f>INDEX(paste_TI!$B$2:$G$57,MATCH(MAX($A102,MIN($B102,6)+14),paste_TI!$A$2:$A$57,0),MIN($B102,6))</f>
        <v>5.5989999999999998E-3</v>
      </c>
    </row>
    <row r="103" spans="1:4" ht="15" customHeight="1" x14ac:dyDescent="0.45">
      <c r="A103" s="8">
        <v>25</v>
      </c>
      <c r="B103" s="8">
        <v>2</v>
      </c>
      <c r="C103" s="11">
        <f>INDEX(paste_RI!$B$2:$K$57,MATCH(MAX($A103,$B103+14),paste_RI!$A$2:$A$57,0),$B103)</f>
        <v>0.15001500000000001</v>
      </c>
      <c r="D103" s="11">
        <f>INDEX(paste_TI!$B$2:$G$57,MATCH(MAX($A103,MIN($B103,6)+14),paste_TI!$A$2:$A$57,0),MIN($B103,6))</f>
        <v>1.1845E-2</v>
      </c>
    </row>
    <row r="104" spans="1:4" ht="15" customHeight="1" x14ac:dyDescent="0.45">
      <c r="A104" s="8">
        <v>25</v>
      </c>
      <c r="B104" s="8">
        <v>3</v>
      </c>
      <c r="C104" s="11">
        <f>INDEX(paste_RI!$B$2:$K$57,MATCH(MAX($A104,$B104+14),paste_RI!$A$2:$A$57,0),$B104)</f>
        <v>0.12339799999999999</v>
      </c>
      <c r="D104" s="11">
        <f>INDEX(paste_TI!$B$2:$G$57,MATCH(MAX($A104,MIN($B104,6)+14),paste_TI!$A$2:$A$57,0),MIN($B104,6))</f>
        <v>6.7520000000000002E-3</v>
      </c>
    </row>
    <row r="105" spans="1:4" ht="15" customHeight="1" x14ac:dyDescent="0.45">
      <c r="A105" s="8">
        <v>25</v>
      </c>
      <c r="B105" s="8">
        <v>4</v>
      </c>
      <c r="C105" s="11">
        <f>INDEX(paste_RI!$B$2:$K$57,MATCH(MAX($A105,$B105+14),paste_RI!$A$2:$A$57,0),$B105)</f>
        <v>0.150008</v>
      </c>
      <c r="D105" s="11">
        <f>INDEX(paste_TI!$B$2:$G$57,MATCH(MAX($A105,MIN($B105,6)+14),paste_TI!$A$2:$A$57,0),MIN($B105,6))</f>
        <v>3.888E-3</v>
      </c>
    </row>
    <row r="106" spans="1:4" ht="15" customHeight="1" x14ac:dyDescent="0.45">
      <c r="A106" s="8">
        <v>25</v>
      </c>
      <c r="B106" s="8">
        <v>5</v>
      </c>
      <c r="C106" s="11">
        <f>INDEX(paste_RI!$B$2:$K$57,MATCH(MAX($A106,$B106+14),paste_RI!$A$2:$A$57,0),$B106)</f>
        <v>0.150008</v>
      </c>
      <c r="D106" s="11">
        <f>INDEX(paste_TI!$B$2:$G$57,MATCH(MAX($A106,MIN($B106,6)+14),paste_TI!$A$2:$A$57,0),MIN($B106,6))</f>
        <v>3.888E-3</v>
      </c>
    </row>
    <row r="107" spans="1:4" ht="15" customHeight="1" x14ac:dyDescent="0.45">
      <c r="A107" s="8">
        <v>25</v>
      </c>
      <c r="B107" s="8">
        <v>6</v>
      </c>
      <c r="C107" s="11">
        <f>INDEX(paste_RI!$B$2:$K$57,MATCH(MAX($A107,$B107+14),paste_RI!$A$2:$A$57,0),$B107)</f>
        <v>0.12339799999999999</v>
      </c>
      <c r="D107" s="11">
        <f>INDEX(paste_TI!$B$2:$G$57,MATCH(MAX($A107,MIN($B107,6)+14),paste_TI!$A$2:$A$57,0),MIN($B107,6))</f>
        <v>3.888E-3</v>
      </c>
    </row>
    <row r="108" spans="1:4" ht="15" customHeight="1" x14ac:dyDescent="0.45">
      <c r="A108" s="8">
        <v>25</v>
      </c>
      <c r="B108" s="8">
        <v>7</v>
      </c>
      <c r="C108" s="11">
        <f>INDEX(paste_RI!$B$2:$K$57,MATCH(MAX($A108,$B108+14),paste_RI!$A$2:$A$57,0),$B108)</f>
        <v>0.102033</v>
      </c>
      <c r="D108" s="11">
        <f>INDEX(paste_TI!$B$2:$G$57,MATCH(MAX($A108,MIN($B108,6)+14),paste_TI!$A$2:$A$57,0),MIN($B108,6))</f>
        <v>3.888E-3</v>
      </c>
    </row>
    <row r="109" spans="1:4" ht="15" customHeight="1" x14ac:dyDescent="0.45">
      <c r="A109" s="8">
        <v>25</v>
      </c>
      <c r="B109" s="8">
        <v>8</v>
      </c>
      <c r="C109" s="11">
        <f>INDEX(paste_RI!$B$2:$K$57,MATCH(MAX($A109,$B109+14),paste_RI!$A$2:$A$57,0),$B109)</f>
        <v>6.5087999999999993E-2</v>
      </c>
      <c r="D109" s="11">
        <f>INDEX(paste_TI!$B$2:$G$57,MATCH(MAX($A109,MIN($B109,6)+14),paste_TI!$A$2:$A$57,0),MIN($B109,6))</f>
        <v>3.888E-3</v>
      </c>
    </row>
    <row r="110" spans="1:4" ht="15" customHeight="1" x14ac:dyDescent="0.45">
      <c r="A110" s="8">
        <v>25</v>
      </c>
      <c r="B110" s="8">
        <v>9</v>
      </c>
      <c r="C110" s="11">
        <f>INDEX(paste_RI!$B$2:$K$57,MATCH(MAX($A110,$B110+14),paste_RI!$A$2:$A$57,0),$B110)</f>
        <v>6.5087999999999993E-2</v>
      </c>
      <c r="D110" s="11">
        <f>INDEX(paste_TI!$B$2:$G$57,MATCH(MAX($A110,MIN($B110,6)+14),paste_TI!$A$2:$A$57,0),MIN($B110,6))</f>
        <v>3.888E-3</v>
      </c>
    </row>
    <row r="111" spans="1:4" ht="15" customHeight="1" x14ac:dyDescent="0.45">
      <c r="A111" s="8">
        <v>25</v>
      </c>
      <c r="B111" s="8">
        <v>10</v>
      </c>
      <c r="C111" s="11">
        <f>INDEX(paste_RI!$B$2:$K$57,MATCH(MAX($A111,$B111+14),paste_RI!$A$2:$A$57,0),$B111)</f>
        <v>4.7419000000000003E-2</v>
      </c>
      <c r="D111" s="11">
        <f>INDEX(paste_TI!$B$2:$G$57,MATCH(MAX($A111,MIN($B111,6)+14),paste_TI!$A$2:$A$57,0),MIN($B111,6))</f>
        <v>3.888E-3</v>
      </c>
    </row>
    <row r="112" spans="1:4" ht="15" customHeight="1" x14ac:dyDescent="0.45">
      <c r="A112" s="8">
        <v>26</v>
      </c>
      <c r="B112" s="8">
        <v>1</v>
      </c>
      <c r="C112" s="11">
        <f>INDEX(paste_RI!$B$2:$K$57,MATCH(MAX($A112,$B112+14),paste_RI!$A$2:$A$57,0),$B112)</f>
        <v>0.15124699999999999</v>
      </c>
      <c r="D112" s="11">
        <f>INDEX(paste_TI!$B$2:$G$57,MATCH(MAX($A112,MIN($B112,6)+14),paste_TI!$A$2:$A$57,0),MIN($B112,6))</f>
        <v>5.5989999999999998E-3</v>
      </c>
    </row>
    <row r="113" spans="1:4" ht="15" customHeight="1" x14ac:dyDescent="0.45">
      <c r="A113" s="8">
        <v>26</v>
      </c>
      <c r="B113" s="8">
        <v>2</v>
      </c>
      <c r="C113" s="11">
        <f>INDEX(paste_RI!$B$2:$K$57,MATCH(MAX($A113,$B113+14),paste_RI!$A$2:$A$57,0),$B113)</f>
        <v>0.15124699999999999</v>
      </c>
      <c r="D113" s="11">
        <f>INDEX(paste_TI!$B$2:$G$57,MATCH(MAX($A113,MIN($B113,6)+14),paste_TI!$A$2:$A$57,0),MIN($B113,6))</f>
        <v>1.1845E-2</v>
      </c>
    </row>
    <row r="114" spans="1:4" ht="15" customHeight="1" x14ac:dyDescent="0.45">
      <c r="A114" s="8">
        <v>26</v>
      </c>
      <c r="B114" s="8">
        <v>3</v>
      </c>
      <c r="C114" s="11">
        <f>INDEX(paste_RI!$B$2:$K$57,MATCH(MAX($A114,$B114+14),paste_RI!$A$2:$A$57,0),$B114)</f>
        <v>0.123247</v>
      </c>
      <c r="D114" s="11">
        <f>INDEX(paste_TI!$B$2:$G$57,MATCH(MAX($A114,MIN($B114,6)+14),paste_TI!$A$2:$A$57,0),MIN($B114,6))</f>
        <v>6.7520000000000002E-3</v>
      </c>
    </row>
    <row r="115" spans="1:4" ht="15" customHeight="1" x14ac:dyDescent="0.45">
      <c r="A115" s="8">
        <v>26</v>
      </c>
      <c r="B115" s="8">
        <v>4</v>
      </c>
      <c r="C115" s="11">
        <f>INDEX(paste_RI!$B$2:$K$57,MATCH(MAX($A115,$B115+14),paste_RI!$A$2:$A$57,0),$B115)</f>
        <v>0.14865100000000001</v>
      </c>
      <c r="D115" s="11">
        <f>INDEX(paste_TI!$B$2:$G$57,MATCH(MAX($A115,MIN($B115,6)+14),paste_TI!$A$2:$A$57,0),MIN($B115,6))</f>
        <v>3.888E-3</v>
      </c>
    </row>
    <row r="116" spans="1:4" ht="15" customHeight="1" x14ac:dyDescent="0.45">
      <c r="A116" s="8">
        <v>26</v>
      </c>
      <c r="B116" s="8">
        <v>5</v>
      </c>
      <c r="C116" s="11">
        <f>INDEX(paste_RI!$B$2:$K$57,MATCH(MAX($A116,$B116+14),paste_RI!$A$2:$A$57,0),$B116)</f>
        <v>0.14865100000000001</v>
      </c>
      <c r="D116" s="11">
        <f>INDEX(paste_TI!$B$2:$G$57,MATCH(MAX($A116,MIN($B116,6)+14),paste_TI!$A$2:$A$57,0),MIN($B116,6))</f>
        <v>3.888E-3</v>
      </c>
    </row>
    <row r="117" spans="1:4" ht="15" customHeight="1" x14ac:dyDescent="0.45">
      <c r="A117" s="8">
        <v>26</v>
      </c>
      <c r="B117" s="8">
        <v>6</v>
      </c>
      <c r="C117" s="11">
        <f>INDEX(paste_RI!$B$2:$K$57,MATCH(MAX($A117,$B117+14),paste_RI!$A$2:$A$57,0),$B117)</f>
        <v>0.123247</v>
      </c>
      <c r="D117" s="11">
        <f>INDEX(paste_TI!$B$2:$G$57,MATCH(MAX($A117,MIN($B117,6)+14),paste_TI!$A$2:$A$57,0),MIN($B117,6))</f>
        <v>3.888E-3</v>
      </c>
    </row>
    <row r="118" spans="1:4" ht="15" customHeight="1" x14ac:dyDescent="0.45">
      <c r="A118" s="8">
        <v>26</v>
      </c>
      <c r="B118" s="8">
        <v>7</v>
      </c>
      <c r="C118" s="11">
        <f>INDEX(paste_RI!$B$2:$K$57,MATCH(MAX($A118,$B118+14),paste_RI!$A$2:$A$57,0),$B118)</f>
        <v>9.6322000000000005E-2</v>
      </c>
      <c r="D118" s="11">
        <f>INDEX(paste_TI!$B$2:$G$57,MATCH(MAX($A118,MIN($B118,6)+14),paste_TI!$A$2:$A$57,0),MIN($B118,6))</f>
        <v>3.888E-3</v>
      </c>
    </row>
    <row r="119" spans="1:4" ht="15" customHeight="1" x14ac:dyDescent="0.45">
      <c r="A119" s="8">
        <v>26</v>
      </c>
      <c r="B119" s="8">
        <v>8</v>
      </c>
      <c r="C119" s="11">
        <f>INDEX(paste_RI!$B$2:$K$57,MATCH(MAX($A119,$B119+14),paste_RI!$A$2:$A$57,0),$B119)</f>
        <v>6.3271999999999995E-2</v>
      </c>
      <c r="D119" s="11">
        <f>INDEX(paste_TI!$B$2:$G$57,MATCH(MAX($A119,MIN($B119,6)+14),paste_TI!$A$2:$A$57,0),MIN($B119,6))</f>
        <v>3.888E-3</v>
      </c>
    </row>
    <row r="120" spans="1:4" ht="15" customHeight="1" x14ac:dyDescent="0.45">
      <c r="A120" s="8">
        <v>26</v>
      </c>
      <c r="B120" s="8">
        <v>9</v>
      </c>
      <c r="C120" s="11">
        <f>INDEX(paste_RI!$B$2:$K$57,MATCH(MAX($A120,$B120+14),paste_RI!$A$2:$A$57,0),$B120)</f>
        <v>6.3271999999999995E-2</v>
      </c>
      <c r="D120" s="11">
        <f>INDEX(paste_TI!$B$2:$G$57,MATCH(MAX($A120,MIN($B120,6)+14),paste_TI!$A$2:$A$57,0),MIN($B120,6))</f>
        <v>3.888E-3</v>
      </c>
    </row>
    <row r="121" spans="1:4" ht="15" customHeight="1" x14ac:dyDescent="0.45">
      <c r="A121" s="8">
        <v>26</v>
      </c>
      <c r="B121" s="8">
        <v>10</v>
      </c>
      <c r="C121" s="11">
        <f>INDEX(paste_RI!$B$2:$K$57,MATCH(MAX($A121,$B121+14),paste_RI!$A$2:$A$57,0),$B121)</f>
        <v>4.5377000000000001E-2</v>
      </c>
      <c r="D121" s="11">
        <f>INDEX(paste_TI!$B$2:$G$57,MATCH(MAX($A121,MIN($B121,6)+14),paste_TI!$A$2:$A$57,0),MIN($B121,6))</f>
        <v>3.888E-3</v>
      </c>
    </row>
    <row r="122" spans="1:4" ht="15" customHeight="1" x14ac:dyDescent="0.45">
      <c r="A122" s="8">
        <v>27</v>
      </c>
      <c r="B122" s="8">
        <v>1</v>
      </c>
      <c r="C122" s="11">
        <f>INDEX(paste_RI!$B$2:$K$57,MATCH(MAX($A122,$B122+14),paste_RI!$A$2:$A$57,0),$B122)</f>
        <v>0.15268799999999999</v>
      </c>
      <c r="D122" s="11">
        <f>INDEX(paste_TI!$B$2:$G$57,MATCH(MAX($A122,MIN($B122,6)+14),paste_TI!$A$2:$A$57,0),MIN($B122,6))</f>
        <v>5.5989999999999998E-3</v>
      </c>
    </row>
    <row r="123" spans="1:4" ht="15" customHeight="1" x14ac:dyDescent="0.45">
      <c r="A123" s="8">
        <v>27</v>
      </c>
      <c r="B123" s="8">
        <v>2</v>
      </c>
      <c r="C123" s="11">
        <f>INDEX(paste_RI!$B$2:$K$57,MATCH(MAX($A123,$B123+14),paste_RI!$A$2:$A$57,0),$B123)</f>
        <v>0.15268799999999999</v>
      </c>
      <c r="D123" s="11">
        <f>INDEX(paste_TI!$B$2:$G$57,MATCH(MAX($A123,MIN($B123,6)+14),paste_TI!$A$2:$A$57,0),MIN($B123,6))</f>
        <v>1.1845E-2</v>
      </c>
    </row>
    <row r="124" spans="1:4" ht="15" customHeight="1" x14ac:dyDescent="0.45">
      <c r="A124" s="8">
        <v>27</v>
      </c>
      <c r="B124" s="8">
        <v>3</v>
      </c>
      <c r="C124" s="11">
        <f>INDEX(paste_RI!$B$2:$K$57,MATCH(MAX($A124,$B124+14),paste_RI!$A$2:$A$57,0),$B124)</f>
        <v>0.122978</v>
      </c>
      <c r="D124" s="11">
        <f>INDEX(paste_TI!$B$2:$G$57,MATCH(MAX($A124,MIN($B124,6)+14),paste_TI!$A$2:$A$57,0),MIN($B124,6))</f>
        <v>6.7520000000000002E-3</v>
      </c>
    </row>
    <row r="125" spans="1:4" ht="15" customHeight="1" x14ac:dyDescent="0.45">
      <c r="A125" s="8">
        <v>27</v>
      </c>
      <c r="B125" s="8">
        <v>4</v>
      </c>
      <c r="C125" s="11">
        <f>INDEX(paste_RI!$B$2:$K$57,MATCH(MAX($A125,$B125+14),paste_RI!$A$2:$A$57,0),$B125)</f>
        <v>0.14641799999999999</v>
      </c>
      <c r="D125" s="11">
        <f>INDEX(paste_TI!$B$2:$G$57,MATCH(MAX($A125,MIN($B125,6)+14),paste_TI!$A$2:$A$57,0),MIN($B125,6))</f>
        <v>3.888E-3</v>
      </c>
    </row>
    <row r="126" spans="1:4" ht="15" customHeight="1" x14ac:dyDescent="0.45">
      <c r="A126" s="8">
        <v>27</v>
      </c>
      <c r="B126" s="8">
        <v>5</v>
      </c>
      <c r="C126" s="11">
        <f>INDEX(paste_RI!$B$2:$K$57,MATCH(MAX($A126,$B126+14),paste_RI!$A$2:$A$57,0),$B126)</f>
        <v>0.14641799999999999</v>
      </c>
      <c r="D126" s="11">
        <f>INDEX(paste_TI!$B$2:$G$57,MATCH(MAX($A126,MIN($B126,6)+14),paste_TI!$A$2:$A$57,0),MIN($B126,6))</f>
        <v>3.888E-3</v>
      </c>
    </row>
    <row r="127" spans="1:4" ht="15" customHeight="1" x14ac:dyDescent="0.45">
      <c r="A127" s="8">
        <v>27</v>
      </c>
      <c r="B127" s="8">
        <v>6</v>
      </c>
      <c r="C127" s="11">
        <f>INDEX(paste_RI!$B$2:$K$57,MATCH(MAX($A127,$B127+14),paste_RI!$A$2:$A$57,0),$B127)</f>
        <v>0.116825</v>
      </c>
      <c r="D127" s="11">
        <f>INDEX(paste_TI!$B$2:$G$57,MATCH(MAX($A127,MIN($B127,6)+14),paste_TI!$A$2:$A$57,0),MIN($B127,6))</f>
        <v>3.888E-3</v>
      </c>
    </row>
    <row r="128" spans="1:4" ht="15" customHeight="1" x14ac:dyDescent="0.45">
      <c r="A128" s="8">
        <v>27</v>
      </c>
      <c r="B128" s="8">
        <v>7</v>
      </c>
      <c r="C128" s="11">
        <f>INDEX(paste_RI!$B$2:$K$57,MATCH(MAX($A128,$B128+14),paste_RI!$A$2:$A$57,0),$B128)</f>
        <v>9.0548000000000003E-2</v>
      </c>
      <c r="D128" s="11">
        <f>INDEX(paste_TI!$B$2:$G$57,MATCH(MAX($A128,MIN($B128,6)+14),paste_TI!$A$2:$A$57,0),MIN($B128,6))</f>
        <v>3.888E-3</v>
      </c>
    </row>
    <row r="129" spans="1:4" ht="15" customHeight="1" x14ac:dyDescent="0.45">
      <c r="A129" s="8">
        <v>27</v>
      </c>
      <c r="B129" s="8">
        <v>8</v>
      </c>
      <c r="C129" s="11">
        <f>INDEX(paste_RI!$B$2:$K$57,MATCH(MAX($A129,$B129+14),paste_RI!$A$2:$A$57,0),$B129)</f>
        <v>6.1401999999999998E-2</v>
      </c>
      <c r="D129" s="11">
        <f>INDEX(paste_TI!$B$2:$G$57,MATCH(MAX($A129,MIN($B129,6)+14),paste_TI!$A$2:$A$57,0),MIN($B129,6))</f>
        <v>3.888E-3</v>
      </c>
    </row>
    <row r="130" spans="1:4" ht="15" customHeight="1" x14ac:dyDescent="0.45">
      <c r="A130" s="8">
        <v>27</v>
      </c>
      <c r="B130" s="8">
        <v>9</v>
      </c>
      <c r="C130" s="11">
        <f>INDEX(paste_RI!$B$2:$K$57,MATCH(MAX($A130,$B130+14),paste_RI!$A$2:$A$57,0),$B130)</f>
        <v>6.1401999999999998E-2</v>
      </c>
      <c r="D130" s="11">
        <f>INDEX(paste_TI!$B$2:$G$57,MATCH(MAX($A130,MIN($B130,6)+14),paste_TI!$A$2:$A$57,0),MIN($B130,6))</f>
        <v>3.888E-3</v>
      </c>
    </row>
    <row r="131" spans="1:4" ht="15" customHeight="1" x14ac:dyDescent="0.45">
      <c r="A131" s="8">
        <v>27</v>
      </c>
      <c r="B131" s="8">
        <v>10</v>
      </c>
      <c r="C131" s="11">
        <f>INDEX(paste_RI!$B$2:$K$57,MATCH(MAX($A131,$B131+14),paste_RI!$A$2:$A$57,0),$B131)</f>
        <v>4.3166999999999997E-2</v>
      </c>
      <c r="D131" s="11">
        <f>INDEX(paste_TI!$B$2:$G$57,MATCH(MAX($A131,MIN($B131,6)+14),paste_TI!$A$2:$A$57,0),MIN($B131,6))</f>
        <v>3.888E-3</v>
      </c>
    </row>
    <row r="132" spans="1:4" ht="15" customHeight="1" x14ac:dyDescent="0.45">
      <c r="A132" s="8">
        <v>28</v>
      </c>
      <c r="B132" s="8">
        <v>1</v>
      </c>
      <c r="C132" s="11">
        <f>INDEX(paste_RI!$B$2:$K$57,MATCH(MAX($A132,$B132+14),paste_RI!$A$2:$A$57,0),$B132)</f>
        <v>0.154054</v>
      </c>
      <c r="D132" s="11">
        <f>INDEX(paste_TI!$B$2:$G$57,MATCH(MAX($A132,MIN($B132,6)+14),paste_TI!$A$2:$A$57,0),MIN($B132,6))</f>
        <v>5.5989999999999998E-3</v>
      </c>
    </row>
    <row r="133" spans="1:4" ht="15" customHeight="1" x14ac:dyDescent="0.45">
      <c r="A133" s="8">
        <v>28</v>
      </c>
      <c r="B133" s="8">
        <v>2</v>
      </c>
      <c r="C133" s="11">
        <f>INDEX(paste_RI!$B$2:$K$57,MATCH(MAX($A133,$B133+14),paste_RI!$A$2:$A$57,0),$B133)</f>
        <v>0.154054</v>
      </c>
      <c r="D133" s="11">
        <f>INDEX(paste_TI!$B$2:$G$57,MATCH(MAX($A133,MIN($B133,6)+14),paste_TI!$A$2:$A$57,0),MIN($B133,6))</f>
        <v>1.1845E-2</v>
      </c>
    </row>
    <row r="134" spans="1:4" ht="15" customHeight="1" x14ac:dyDescent="0.45">
      <c r="A134" s="8">
        <v>28</v>
      </c>
      <c r="B134" s="8">
        <v>3</v>
      </c>
      <c r="C134" s="11">
        <f>INDEX(paste_RI!$B$2:$K$57,MATCH(MAX($A134,$B134+14),paste_RI!$A$2:$A$57,0),$B134)</f>
        <v>0.122364</v>
      </c>
      <c r="D134" s="11">
        <f>INDEX(paste_TI!$B$2:$G$57,MATCH(MAX($A134,MIN($B134,6)+14),paste_TI!$A$2:$A$57,0),MIN($B134,6))</f>
        <v>6.7520000000000002E-3</v>
      </c>
    </row>
    <row r="135" spans="1:4" ht="15" customHeight="1" x14ac:dyDescent="0.45">
      <c r="A135" s="8">
        <v>28</v>
      </c>
      <c r="B135" s="8">
        <v>4</v>
      </c>
      <c r="C135" s="11">
        <f>INDEX(paste_RI!$B$2:$K$57,MATCH(MAX($A135,$B135+14),paste_RI!$A$2:$A$57,0),$B135)</f>
        <v>0.14336199999999999</v>
      </c>
      <c r="D135" s="11">
        <f>INDEX(paste_TI!$B$2:$G$57,MATCH(MAX($A135,MIN($B135,6)+14),paste_TI!$A$2:$A$57,0),MIN($B135,6))</f>
        <v>3.888E-3</v>
      </c>
    </row>
    <row r="136" spans="1:4" ht="15" customHeight="1" x14ac:dyDescent="0.45">
      <c r="A136" s="8">
        <v>28</v>
      </c>
      <c r="B136" s="8">
        <v>5</v>
      </c>
      <c r="C136" s="11">
        <f>INDEX(paste_RI!$B$2:$K$57,MATCH(MAX($A136,$B136+14),paste_RI!$A$2:$A$57,0),$B136)</f>
        <v>0.14330899999999999</v>
      </c>
      <c r="D136" s="11">
        <f>INDEX(paste_TI!$B$2:$G$57,MATCH(MAX($A136,MIN($B136,6)+14),paste_TI!$A$2:$A$57,0),MIN($B136,6))</f>
        <v>3.888E-3</v>
      </c>
    </row>
    <row r="137" spans="1:4" ht="15" customHeight="1" x14ac:dyDescent="0.45">
      <c r="A137" s="8">
        <v>28</v>
      </c>
      <c r="B137" s="8">
        <v>6</v>
      </c>
      <c r="C137" s="11">
        <f>INDEX(paste_RI!$B$2:$K$57,MATCH(MAX($A137,$B137+14),paste_RI!$A$2:$A$57,0),$B137)</f>
        <v>0.109652</v>
      </c>
      <c r="D137" s="11">
        <f>INDEX(paste_TI!$B$2:$G$57,MATCH(MAX($A137,MIN($B137,6)+14),paste_TI!$A$2:$A$57,0),MIN($B137,6))</f>
        <v>3.888E-3</v>
      </c>
    </row>
    <row r="138" spans="1:4" ht="15" customHeight="1" x14ac:dyDescent="0.45">
      <c r="A138" s="8">
        <v>28</v>
      </c>
      <c r="B138" s="8">
        <v>7</v>
      </c>
      <c r="C138" s="11">
        <f>INDEX(paste_RI!$B$2:$K$57,MATCH(MAX($A138,$B138+14),paste_RI!$A$2:$A$57,0),$B138)</f>
        <v>8.4637000000000004E-2</v>
      </c>
      <c r="D138" s="11">
        <f>INDEX(paste_TI!$B$2:$G$57,MATCH(MAX($A138,MIN($B138,6)+14),paste_TI!$A$2:$A$57,0),MIN($B138,6))</f>
        <v>3.888E-3</v>
      </c>
    </row>
    <row r="139" spans="1:4" ht="15" customHeight="1" x14ac:dyDescent="0.45">
      <c r="A139" s="8">
        <v>28</v>
      </c>
      <c r="B139" s="8">
        <v>8</v>
      </c>
      <c r="C139" s="11">
        <f>INDEX(paste_RI!$B$2:$K$57,MATCH(MAX($A139,$B139+14),paste_RI!$A$2:$A$57,0),$B139)</f>
        <v>5.9399E-2</v>
      </c>
      <c r="D139" s="11">
        <f>INDEX(paste_TI!$B$2:$G$57,MATCH(MAX($A139,MIN($B139,6)+14),paste_TI!$A$2:$A$57,0),MIN($B139,6))</f>
        <v>3.888E-3</v>
      </c>
    </row>
    <row r="140" spans="1:4" ht="15" customHeight="1" x14ac:dyDescent="0.45">
      <c r="A140" s="8">
        <v>28</v>
      </c>
      <c r="B140" s="8">
        <v>9</v>
      </c>
      <c r="C140" s="11">
        <f>INDEX(paste_RI!$B$2:$K$57,MATCH(MAX($A140,$B140+14),paste_RI!$A$2:$A$57,0),$B140)</f>
        <v>5.9399E-2</v>
      </c>
      <c r="D140" s="11">
        <f>INDEX(paste_TI!$B$2:$G$57,MATCH(MAX($A140,MIN($B140,6)+14),paste_TI!$A$2:$A$57,0),MIN($B140,6))</f>
        <v>3.888E-3</v>
      </c>
    </row>
    <row r="141" spans="1:4" ht="15" customHeight="1" x14ac:dyDescent="0.45">
      <c r="A141" s="8">
        <v>28</v>
      </c>
      <c r="B141" s="8">
        <v>10</v>
      </c>
      <c r="C141" s="11">
        <f>INDEX(paste_RI!$B$2:$K$57,MATCH(MAX($A141,$B141+14),paste_RI!$A$2:$A$57,0),$B141)</f>
        <v>4.0709000000000002E-2</v>
      </c>
      <c r="D141" s="11">
        <f>INDEX(paste_TI!$B$2:$G$57,MATCH(MAX($A141,MIN($B141,6)+14),paste_TI!$A$2:$A$57,0),MIN($B141,6))</f>
        <v>3.888E-3</v>
      </c>
    </row>
    <row r="142" spans="1:4" ht="15" customHeight="1" x14ac:dyDescent="0.45">
      <c r="A142" s="8">
        <v>29</v>
      </c>
      <c r="B142" s="8">
        <v>1</v>
      </c>
      <c r="C142" s="11">
        <f>INDEX(paste_RI!$B$2:$K$57,MATCH(MAX($A142,$B142+14),paste_RI!$A$2:$A$57,0),$B142)</f>
        <v>0.15509400000000001</v>
      </c>
      <c r="D142" s="11">
        <f>INDEX(paste_TI!$B$2:$G$57,MATCH(MAX($A142,MIN($B142,6)+14),paste_TI!$A$2:$A$57,0),MIN($B142,6))</f>
        <v>5.5989999999999998E-3</v>
      </c>
    </row>
    <row r="143" spans="1:4" ht="15" customHeight="1" x14ac:dyDescent="0.45">
      <c r="A143" s="8">
        <v>29</v>
      </c>
      <c r="B143" s="8">
        <v>2</v>
      </c>
      <c r="C143" s="11">
        <f>INDEX(paste_RI!$B$2:$K$57,MATCH(MAX($A143,$B143+14),paste_RI!$A$2:$A$57,0),$B143)</f>
        <v>0.15509400000000001</v>
      </c>
      <c r="D143" s="11">
        <f>INDEX(paste_TI!$B$2:$G$57,MATCH(MAX($A143,MIN($B143,6)+14),paste_TI!$A$2:$A$57,0),MIN($B143,6))</f>
        <v>1.1845E-2</v>
      </c>
    </row>
    <row r="144" spans="1:4" ht="15" customHeight="1" x14ac:dyDescent="0.45">
      <c r="A144" s="8">
        <v>29</v>
      </c>
      <c r="B144" s="8">
        <v>3</v>
      </c>
      <c r="C144" s="11">
        <f>INDEX(paste_RI!$B$2:$K$57,MATCH(MAX($A144,$B144+14),paste_RI!$A$2:$A$57,0),$B144)</f>
        <v>0.121154</v>
      </c>
      <c r="D144" s="11">
        <f>INDEX(paste_TI!$B$2:$G$57,MATCH(MAX($A144,MIN($B144,6)+14),paste_TI!$A$2:$A$57,0),MIN($B144,6))</f>
        <v>6.7520000000000002E-3</v>
      </c>
    </row>
    <row r="145" spans="1:4" ht="15" customHeight="1" x14ac:dyDescent="0.45">
      <c r="A145" s="8">
        <v>29</v>
      </c>
      <c r="B145" s="8">
        <v>4</v>
      </c>
      <c r="C145" s="11">
        <f>INDEX(paste_RI!$B$2:$K$57,MATCH(MAX($A145,$B145+14),paste_RI!$A$2:$A$57,0),$B145)</f>
        <v>0.13963800000000001</v>
      </c>
      <c r="D145" s="11">
        <f>INDEX(paste_TI!$B$2:$G$57,MATCH(MAX($A145,MIN($B145,6)+14),paste_TI!$A$2:$A$57,0),MIN($B145,6))</f>
        <v>3.888E-3</v>
      </c>
    </row>
    <row r="146" spans="1:4" ht="15" customHeight="1" x14ac:dyDescent="0.45">
      <c r="A146" s="8">
        <v>29</v>
      </c>
      <c r="B146" s="8">
        <v>5</v>
      </c>
      <c r="C146" s="11">
        <f>INDEX(paste_RI!$B$2:$K$57,MATCH(MAX($A146,$B146+14),paste_RI!$A$2:$A$57,0),$B146)</f>
        <v>0.13738800000000001</v>
      </c>
      <c r="D146" s="11">
        <f>INDEX(paste_TI!$B$2:$G$57,MATCH(MAX($A146,MIN($B146,6)+14),paste_TI!$A$2:$A$57,0),MIN($B146,6))</f>
        <v>3.888E-3</v>
      </c>
    </row>
    <row r="147" spans="1:4" ht="15" customHeight="1" x14ac:dyDescent="0.45">
      <c r="A147" s="8">
        <v>29</v>
      </c>
      <c r="B147" s="8">
        <v>6</v>
      </c>
      <c r="C147" s="11">
        <f>INDEX(paste_RI!$B$2:$K$57,MATCH(MAX($A147,$B147+14),paste_RI!$A$2:$A$57,0),$B147)</f>
        <v>0.102273</v>
      </c>
      <c r="D147" s="11">
        <f>INDEX(paste_TI!$B$2:$G$57,MATCH(MAX($A147,MIN($B147,6)+14),paste_TI!$A$2:$A$57,0),MIN($B147,6))</f>
        <v>3.888E-3</v>
      </c>
    </row>
    <row r="148" spans="1:4" ht="15" customHeight="1" x14ac:dyDescent="0.45">
      <c r="A148" s="8">
        <v>29</v>
      </c>
      <c r="B148" s="8">
        <v>7</v>
      </c>
      <c r="C148" s="11">
        <f>INDEX(paste_RI!$B$2:$K$57,MATCH(MAX($A148,$B148+14),paste_RI!$A$2:$A$57,0),$B148)</f>
        <v>7.8528000000000001E-2</v>
      </c>
      <c r="D148" s="11">
        <f>INDEX(paste_TI!$B$2:$G$57,MATCH(MAX($A148,MIN($B148,6)+14),paste_TI!$A$2:$A$57,0),MIN($B148,6))</f>
        <v>3.888E-3</v>
      </c>
    </row>
    <row r="149" spans="1:4" ht="15" customHeight="1" x14ac:dyDescent="0.45">
      <c r="A149" s="8">
        <v>29</v>
      </c>
      <c r="B149" s="8">
        <v>8</v>
      </c>
      <c r="C149" s="11">
        <f>INDEX(paste_RI!$B$2:$K$57,MATCH(MAX($A149,$B149+14),paste_RI!$A$2:$A$57,0),$B149)</f>
        <v>5.7188000000000003E-2</v>
      </c>
      <c r="D149" s="11">
        <f>INDEX(paste_TI!$B$2:$G$57,MATCH(MAX($A149,MIN($B149,6)+14),paste_TI!$A$2:$A$57,0),MIN($B149,6))</f>
        <v>3.888E-3</v>
      </c>
    </row>
    <row r="150" spans="1:4" ht="15" customHeight="1" x14ac:dyDescent="0.45">
      <c r="A150" s="8">
        <v>29</v>
      </c>
      <c r="B150" s="8">
        <v>9</v>
      </c>
      <c r="C150" s="11">
        <f>INDEX(paste_RI!$B$2:$K$57,MATCH(MAX($A150,$B150+14),paste_RI!$A$2:$A$57,0),$B150)</f>
        <v>5.7188000000000003E-2</v>
      </c>
      <c r="D150" s="11">
        <f>INDEX(paste_TI!$B$2:$G$57,MATCH(MAX($A150,MIN($B150,6)+14),paste_TI!$A$2:$A$57,0),MIN($B150,6))</f>
        <v>3.888E-3</v>
      </c>
    </row>
    <row r="151" spans="1:4" ht="15" customHeight="1" x14ac:dyDescent="0.45">
      <c r="A151" s="8">
        <v>29</v>
      </c>
      <c r="B151" s="8">
        <v>10</v>
      </c>
      <c r="C151" s="11">
        <f>INDEX(paste_RI!$B$2:$K$57,MATCH(MAX($A151,$B151+14),paste_RI!$A$2:$A$57,0),$B151)</f>
        <v>3.8224000000000001E-2</v>
      </c>
      <c r="D151" s="11">
        <f>INDEX(paste_TI!$B$2:$G$57,MATCH(MAX($A151,MIN($B151,6)+14),paste_TI!$A$2:$A$57,0),MIN($B151,6))</f>
        <v>3.888E-3</v>
      </c>
    </row>
    <row r="152" spans="1:4" ht="15" customHeight="1" x14ac:dyDescent="0.45">
      <c r="A152" s="8">
        <v>30</v>
      </c>
      <c r="B152" s="8">
        <v>1</v>
      </c>
      <c r="C152" s="11">
        <f>INDEX(paste_RI!$B$2:$K$57,MATCH(MAX($A152,$B152+14),paste_RI!$A$2:$A$57,0),$B152)</f>
        <v>0.15656</v>
      </c>
      <c r="D152" s="11">
        <f>INDEX(paste_TI!$B$2:$G$57,MATCH(MAX($A152,MIN($B152,6)+14),paste_TI!$A$2:$A$57,0),MIN($B152,6))</f>
        <v>5.5989999999999998E-3</v>
      </c>
    </row>
    <row r="153" spans="1:4" ht="15" customHeight="1" x14ac:dyDescent="0.45">
      <c r="A153" s="8">
        <v>30</v>
      </c>
      <c r="B153" s="8">
        <v>2</v>
      </c>
      <c r="C153" s="11">
        <f>INDEX(paste_RI!$B$2:$K$57,MATCH(MAX($A153,$B153+14),paste_RI!$A$2:$A$57,0),$B153)</f>
        <v>0.15474399999999999</v>
      </c>
      <c r="D153" s="11">
        <f>INDEX(paste_TI!$B$2:$G$57,MATCH(MAX($A153,MIN($B153,6)+14),paste_TI!$A$2:$A$57,0),MIN($B153,6))</f>
        <v>1.1845E-2</v>
      </c>
    </row>
    <row r="154" spans="1:4" ht="15" customHeight="1" x14ac:dyDescent="0.45">
      <c r="A154" s="8">
        <v>30</v>
      </c>
      <c r="B154" s="8">
        <v>3</v>
      </c>
      <c r="C154" s="11">
        <f>INDEX(paste_RI!$B$2:$K$57,MATCH(MAX($A154,$B154+14),paste_RI!$A$2:$A$57,0),$B154)</f>
        <v>0.119252</v>
      </c>
      <c r="D154" s="11">
        <f>INDEX(paste_TI!$B$2:$G$57,MATCH(MAX($A154,MIN($B154,6)+14),paste_TI!$A$2:$A$57,0),MIN($B154,6))</f>
        <v>6.7520000000000002E-3</v>
      </c>
    </row>
    <row r="155" spans="1:4" ht="15" customHeight="1" x14ac:dyDescent="0.45">
      <c r="A155" s="8">
        <v>30</v>
      </c>
      <c r="B155" s="8">
        <v>4</v>
      </c>
      <c r="C155" s="11">
        <f>INDEX(paste_RI!$B$2:$K$57,MATCH(MAX($A155,$B155+14),paste_RI!$A$2:$A$57,0),$B155)</f>
        <v>0.135242</v>
      </c>
      <c r="D155" s="11">
        <f>INDEX(paste_TI!$B$2:$G$57,MATCH(MAX($A155,MIN($B155,6)+14),paste_TI!$A$2:$A$57,0),MIN($B155,6))</f>
        <v>3.888E-3</v>
      </c>
    </row>
    <row r="156" spans="1:4" ht="15" customHeight="1" x14ac:dyDescent="0.45">
      <c r="A156" s="8">
        <v>30</v>
      </c>
      <c r="B156" s="8">
        <v>5</v>
      </c>
      <c r="C156" s="11">
        <f>INDEX(paste_RI!$B$2:$K$57,MATCH(MAX($A156,$B156+14),paste_RI!$A$2:$A$57,0),$B156)</f>
        <v>0.131018</v>
      </c>
      <c r="D156" s="11">
        <f>INDEX(paste_TI!$B$2:$G$57,MATCH(MAX($A156,MIN($B156,6)+14),paste_TI!$A$2:$A$57,0),MIN($B156,6))</f>
        <v>3.888E-3</v>
      </c>
    </row>
    <row r="157" spans="1:4" ht="15" customHeight="1" x14ac:dyDescent="0.45">
      <c r="A157" s="8">
        <v>30</v>
      </c>
      <c r="B157" s="8">
        <v>6</v>
      </c>
      <c r="C157" s="11">
        <f>INDEX(paste_RI!$B$2:$K$57,MATCH(MAX($A157,$B157+14),paste_RI!$A$2:$A$57,0),$B157)</f>
        <v>9.4801999999999997E-2</v>
      </c>
      <c r="D157" s="11">
        <f>INDEX(paste_TI!$B$2:$G$57,MATCH(MAX($A157,MIN($B157,6)+14),paste_TI!$A$2:$A$57,0),MIN($B157,6))</f>
        <v>3.888E-3</v>
      </c>
    </row>
    <row r="158" spans="1:4" ht="15" customHeight="1" x14ac:dyDescent="0.45">
      <c r="A158" s="8">
        <v>30</v>
      </c>
      <c r="B158" s="8">
        <v>7</v>
      </c>
      <c r="C158" s="11">
        <f>INDEX(paste_RI!$B$2:$K$57,MATCH(MAX($A158,$B158+14),paste_RI!$A$2:$A$57,0),$B158)</f>
        <v>7.2371000000000005E-2</v>
      </c>
      <c r="D158" s="11">
        <f>INDEX(paste_TI!$B$2:$G$57,MATCH(MAX($A158,MIN($B158,6)+14),paste_TI!$A$2:$A$57,0),MIN($B158,6))</f>
        <v>3.888E-3</v>
      </c>
    </row>
    <row r="159" spans="1:4" ht="15" customHeight="1" x14ac:dyDescent="0.45">
      <c r="A159" s="8">
        <v>30</v>
      </c>
      <c r="B159" s="8">
        <v>8</v>
      </c>
      <c r="C159" s="11">
        <f>INDEX(paste_RI!$B$2:$K$57,MATCH(MAX($A159,$B159+14),paste_RI!$A$2:$A$57,0),$B159)</f>
        <v>5.4641000000000002E-2</v>
      </c>
      <c r="D159" s="11">
        <f>INDEX(paste_TI!$B$2:$G$57,MATCH(MAX($A159,MIN($B159,6)+14),paste_TI!$A$2:$A$57,0),MIN($B159,6))</f>
        <v>3.888E-3</v>
      </c>
    </row>
    <row r="160" spans="1:4" ht="15" customHeight="1" x14ac:dyDescent="0.45">
      <c r="A160" s="8">
        <v>30</v>
      </c>
      <c r="B160" s="8">
        <v>9</v>
      </c>
      <c r="C160" s="11">
        <f>INDEX(paste_RI!$B$2:$K$57,MATCH(MAX($A160,$B160+14),paste_RI!$A$2:$A$57,0),$B160)</f>
        <v>5.2533000000000003E-2</v>
      </c>
      <c r="D160" s="11">
        <f>INDEX(paste_TI!$B$2:$G$57,MATCH(MAX($A160,MIN($B160,6)+14),paste_TI!$A$2:$A$57,0),MIN($B160,6))</f>
        <v>3.888E-3</v>
      </c>
    </row>
    <row r="161" spans="1:4" ht="15" customHeight="1" x14ac:dyDescent="0.45">
      <c r="A161" s="8">
        <v>30</v>
      </c>
      <c r="B161" s="8">
        <v>10</v>
      </c>
      <c r="C161" s="11">
        <f>INDEX(paste_RI!$B$2:$K$57,MATCH(MAX($A161,$B161+14),paste_RI!$A$2:$A$57,0),$B161)</f>
        <v>3.5671000000000001E-2</v>
      </c>
      <c r="D161" s="11">
        <f>INDEX(paste_TI!$B$2:$G$57,MATCH(MAX($A161,MIN($B161,6)+14),paste_TI!$A$2:$A$57,0),MIN($B161,6))</f>
        <v>3.888E-3</v>
      </c>
    </row>
    <row r="162" spans="1:4" ht="15" customHeight="1" x14ac:dyDescent="0.45">
      <c r="A162" s="8">
        <v>31</v>
      </c>
      <c r="B162" s="8">
        <v>1</v>
      </c>
      <c r="C162" s="11">
        <f>INDEX(paste_RI!$B$2:$K$57,MATCH(MAX($A162,$B162+14),paste_RI!$A$2:$A$57,0),$B162)</f>
        <v>0.15853100000000001</v>
      </c>
      <c r="D162" s="11">
        <f>INDEX(paste_TI!$B$2:$G$57,MATCH(MAX($A162,MIN($B162,6)+14),paste_TI!$A$2:$A$57,0),MIN($B162,6))</f>
        <v>5.5989999999999998E-3</v>
      </c>
    </row>
    <row r="163" spans="1:4" ht="15" customHeight="1" x14ac:dyDescent="0.45">
      <c r="A163" s="8">
        <v>31</v>
      </c>
      <c r="B163" s="8">
        <v>2</v>
      </c>
      <c r="C163" s="11">
        <f>INDEX(paste_RI!$B$2:$K$57,MATCH(MAX($A163,$B163+14),paste_RI!$A$2:$A$57,0),$B163)</f>
        <v>0.15235699999999999</v>
      </c>
      <c r="D163" s="11">
        <f>INDEX(paste_TI!$B$2:$G$57,MATCH(MAX($A163,MIN($B163,6)+14),paste_TI!$A$2:$A$57,0),MIN($B163,6))</f>
        <v>1.1845E-2</v>
      </c>
    </row>
    <row r="164" spans="1:4" ht="15" customHeight="1" x14ac:dyDescent="0.45">
      <c r="A164" s="8">
        <v>31</v>
      </c>
      <c r="B164" s="8">
        <v>3</v>
      </c>
      <c r="C164" s="11">
        <f>INDEX(paste_RI!$B$2:$K$57,MATCH(MAX($A164,$B164+14),paste_RI!$A$2:$A$57,0),$B164)</f>
        <v>0.11665300000000001</v>
      </c>
      <c r="D164" s="11">
        <f>INDEX(paste_TI!$B$2:$G$57,MATCH(MAX($A164,MIN($B164,6)+14),paste_TI!$A$2:$A$57,0),MIN($B164,6))</f>
        <v>6.7520000000000002E-3</v>
      </c>
    </row>
    <row r="165" spans="1:4" ht="15" customHeight="1" x14ac:dyDescent="0.45">
      <c r="A165" s="8">
        <v>31</v>
      </c>
      <c r="B165" s="8">
        <v>4</v>
      </c>
      <c r="C165" s="11">
        <f>INDEX(paste_RI!$B$2:$K$57,MATCH(MAX($A165,$B165+14),paste_RI!$A$2:$A$57,0),$B165)</f>
        <v>0.13037899999999999</v>
      </c>
      <c r="D165" s="11">
        <f>INDEX(paste_TI!$B$2:$G$57,MATCH(MAX($A165,MIN($B165,6)+14),paste_TI!$A$2:$A$57,0),MIN($B165,6))</f>
        <v>3.888E-3</v>
      </c>
    </row>
    <row r="166" spans="1:4" ht="15" customHeight="1" x14ac:dyDescent="0.45">
      <c r="A166" s="8">
        <v>31</v>
      </c>
      <c r="B166" s="8">
        <v>5</v>
      </c>
      <c r="C166" s="11">
        <f>INDEX(paste_RI!$B$2:$K$57,MATCH(MAX($A166,$B166+14),paste_RI!$A$2:$A$57,0),$B166)</f>
        <v>0.12413299999999999</v>
      </c>
      <c r="D166" s="11">
        <f>INDEX(paste_TI!$B$2:$G$57,MATCH(MAX($A166,MIN($B166,6)+14),paste_TI!$A$2:$A$57,0),MIN($B166,6))</f>
        <v>3.888E-3</v>
      </c>
    </row>
    <row r="167" spans="1:4" ht="15" customHeight="1" x14ac:dyDescent="0.45">
      <c r="A167" s="8">
        <v>31</v>
      </c>
      <c r="B167" s="8">
        <v>6</v>
      </c>
      <c r="C167" s="11">
        <f>INDEX(paste_RI!$B$2:$K$57,MATCH(MAX($A167,$B167+14),paste_RI!$A$2:$A$57,0),$B167)</f>
        <v>8.7305999999999995E-2</v>
      </c>
      <c r="D167" s="11">
        <f>INDEX(paste_TI!$B$2:$G$57,MATCH(MAX($A167,MIN($B167,6)+14),paste_TI!$A$2:$A$57,0),MIN($B167,6))</f>
        <v>3.888E-3</v>
      </c>
    </row>
    <row r="168" spans="1:4" ht="15" customHeight="1" x14ac:dyDescent="0.45">
      <c r="A168" s="8">
        <v>31</v>
      </c>
      <c r="B168" s="8">
        <v>7</v>
      </c>
      <c r="C168" s="11">
        <f>INDEX(paste_RI!$B$2:$K$57,MATCH(MAX($A168,$B168+14),paste_RI!$A$2:$A$57,0),$B168)</f>
        <v>6.6396999999999998E-2</v>
      </c>
      <c r="D168" s="11">
        <f>INDEX(paste_TI!$B$2:$G$57,MATCH(MAX($A168,MIN($B168,6)+14),paste_TI!$A$2:$A$57,0),MIN($B168,6))</f>
        <v>3.888E-3</v>
      </c>
    </row>
    <row r="169" spans="1:4" ht="15" customHeight="1" x14ac:dyDescent="0.45">
      <c r="A169" s="8">
        <v>31</v>
      </c>
      <c r="B169" s="8">
        <v>8</v>
      </c>
      <c r="C169" s="11">
        <f>INDEX(paste_RI!$B$2:$K$57,MATCH(MAX($A169,$B169+14),paste_RI!$A$2:$A$57,0),$B169)</f>
        <v>5.1825000000000003E-2</v>
      </c>
      <c r="D169" s="11">
        <f>INDEX(paste_TI!$B$2:$G$57,MATCH(MAX($A169,MIN($B169,6)+14),paste_TI!$A$2:$A$57,0),MIN($B169,6))</f>
        <v>3.888E-3</v>
      </c>
    </row>
    <row r="170" spans="1:4" ht="15" customHeight="1" x14ac:dyDescent="0.45">
      <c r="A170" s="8">
        <v>31</v>
      </c>
      <c r="B170" s="8">
        <v>9</v>
      </c>
      <c r="C170" s="11">
        <f>INDEX(paste_RI!$B$2:$K$57,MATCH(MAX($A170,$B170+14),paste_RI!$A$2:$A$57,0),$B170)</f>
        <v>4.725E-2</v>
      </c>
      <c r="D170" s="11">
        <f>INDEX(paste_TI!$B$2:$G$57,MATCH(MAX($A170,MIN($B170,6)+14),paste_TI!$A$2:$A$57,0),MIN($B170,6))</f>
        <v>3.888E-3</v>
      </c>
    </row>
    <row r="171" spans="1:4" ht="15" customHeight="1" x14ac:dyDescent="0.45">
      <c r="A171" s="8">
        <v>31</v>
      </c>
      <c r="B171" s="8">
        <v>10</v>
      </c>
      <c r="C171" s="11">
        <f>INDEX(paste_RI!$B$2:$K$57,MATCH(MAX($A171,$B171+14),paste_RI!$A$2:$A$57,0),$B171)</f>
        <v>3.3050999999999997E-2</v>
      </c>
      <c r="D171" s="11">
        <f>INDEX(paste_TI!$B$2:$G$57,MATCH(MAX($A171,MIN($B171,6)+14),paste_TI!$A$2:$A$57,0),MIN($B171,6))</f>
        <v>3.888E-3</v>
      </c>
    </row>
    <row r="172" spans="1:4" ht="15" customHeight="1" x14ac:dyDescent="0.45">
      <c r="A172" s="8">
        <v>32</v>
      </c>
      <c r="B172" s="8">
        <v>1</v>
      </c>
      <c r="C172" s="11">
        <f>INDEX(paste_RI!$B$2:$K$57,MATCH(MAX($A172,$B172+14),paste_RI!$A$2:$A$57,0),$B172)</f>
        <v>0.15954499999999999</v>
      </c>
      <c r="D172" s="11">
        <f>INDEX(paste_TI!$B$2:$G$57,MATCH(MAX($A172,MIN($B172,6)+14),paste_TI!$A$2:$A$57,0),MIN($B172,6))</f>
        <v>6.7520000000000002E-3</v>
      </c>
    </row>
    <row r="173" spans="1:4" ht="15" customHeight="1" x14ac:dyDescent="0.45">
      <c r="A173" s="8">
        <v>32</v>
      </c>
      <c r="B173" s="8">
        <v>2</v>
      </c>
      <c r="C173" s="11">
        <f>INDEX(paste_RI!$B$2:$K$57,MATCH(MAX($A173,$B173+14),paste_RI!$A$2:$A$57,0),$B173)</f>
        <v>0.14959</v>
      </c>
      <c r="D173" s="11">
        <f>INDEX(paste_TI!$B$2:$G$57,MATCH(MAX($A173,MIN($B173,6)+14),paste_TI!$A$2:$A$57,0),MIN($B173,6))</f>
        <v>1.3099E-2</v>
      </c>
    </row>
    <row r="174" spans="1:4" ht="15" customHeight="1" x14ac:dyDescent="0.45">
      <c r="A174" s="8">
        <v>32</v>
      </c>
      <c r="B174" s="8">
        <v>3</v>
      </c>
      <c r="C174" s="11">
        <f>INDEX(paste_RI!$B$2:$K$57,MATCH(MAX($A174,$B174+14),paste_RI!$A$2:$A$57,0),$B174)</f>
        <v>0.11350399999999999</v>
      </c>
      <c r="D174" s="11">
        <f>INDEX(paste_TI!$B$2:$G$57,MATCH(MAX($A174,MIN($B174,6)+14),paste_TI!$A$2:$A$57,0),MIN($B174,6))</f>
        <v>6.7520000000000002E-3</v>
      </c>
    </row>
    <row r="175" spans="1:4" ht="15" customHeight="1" x14ac:dyDescent="0.45">
      <c r="A175" s="8">
        <v>32</v>
      </c>
      <c r="B175" s="8">
        <v>4</v>
      </c>
      <c r="C175" s="11">
        <f>INDEX(paste_RI!$B$2:$K$57,MATCH(MAX($A175,$B175+14),paste_RI!$A$2:$A$57,0),$B175)</f>
        <v>0.12509500000000001</v>
      </c>
      <c r="D175" s="11">
        <f>INDEX(paste_TI!$B$2:$G$57,MATCH(MAX($A175,MIN($B175,6)+14),paste_TI!$A$2:$A$57,0),MIN($B175,6))</f>
        <v>3.888E-3</v>
      </c>
    </row>
    <row r="176" spans="1:4" ht="15" customHeight="1" x14ac:dyDescent="0.45">
      <c r="A176" s="8">
        <v>32</v>
      </c>
      <c r="B176" s="8">
        <v>5</v>
      </c>
      <c r="C176" s="11">
        <f>INDEX(paste_RI!$B$2:$K$57,MATCH(MAX($A176,$B176+14),paste_RI!$A$2:$A$57,0),$B176)</f>
        <v>0.11672100000000001</v>
      </c>
      <c r="D176" s="11">
        <f>INDEX(paste_TI!$B$2:$G$57,MATCH(MAX($A176,MIN($B176,6)+14),paste_TI!$A$2:$A$57,0),MIN($B176,6))</f>
        <v>3.888E-3</v>
      </c>
    </row>
    <row r="177" spans="1:4" ht="15" customHeight="1" x14ac:dyDescent="0.45">
      <c r="A177" s="8">
        <v>32</v>
      </c>
      <c r="B177" s="8">
        <v>6</v>
      </c>
      <c r="C177" s="11">
        <f>INDEX(paste_RI!$B$2:$K$57,MATCH(MAX($A177,$B177+14),paste_RI!$A$2:$A$57,0),$B177)</f>
        <v>7.9929E-2</v>
      </c>
      <c r="D177" s="11">
        <f>INDEX(paste_TI!$B$2:$G$57,MATCH(MAX($A177,MIN($B177,6)+14),paste_TI!$A$2:$A$57,0),MIN($B177,6))</f>
        <v>3.888E-3</v>
      </c>
    </row>
    <row r="178" spans="1:4" ht="15" customHeight="1" x14ac:dyDescent="0.45">
      <c r="A178" s="8">
        <v>32</v>
      </c>
      <c r="B178" s="8">
        <v>7</v>
      </c>
      <c r="C178" s="11">
        <f>INDEX(paste_RI!$B$2:$K$57,MATCH(MAX($A178,$B178+14),paste_RI!$A$2:$A$57,0),$B178)</f>
        <v>6.0673999999999999E-2</v>
      </c>
      <c r="D178" s="11">
        <f>INDEX(paste_TI!$B$2:$G$57,MATCH(MAX($A178,MIN($B178,6)+14),paste_TI!$A$2:$A$57,0),MIN($B178,6))</f>
        <v>3.888E-3</v>
      </c>
    </row>
    <row r="179" spans="1:4" ht="15" customHeight="1" x14ac:dyDescent="0.45">
      <c r="A179" s="8">
        <v>32</v>
      </c>
      <c r="B179" s="8">
        <v>8</v>
      </c>
      <c r="C179" s="11">
        <f>INDEX(paste_RI!$B$2:$K$57,MATCH(MAX($A179,$B179+14),paste_RI!$A$2:$A$57,0),$B179)</f>
        <v>4.8830999999999999E-2</v>
      </c>
      <c r="D179" s="11">
        <f>INDEX(paste_TI!$B$2:$G$57,MATCH(MAX($A179,MIN($B179,6)+14),paste_TI!$A$2:$A$57,0),MIN($B179,6))</f>
        <v>3.888E-3</v>
      </c>
    </row>
    <row r="180" spans="1:4" ht="15" customHeight="1" x14ac:dyDescent="0.45">
      <c r="A180" s="8">
        <v>32</v>
      </c>
      <c r="B180" s="8">
        <v>9</v>
      </c>
      <c r="C180" s="11">
        <f>INDEX(paste_RI!$B$2:$K$57,MATCH(MAX($A180,$B180+14),paste_RI!$A$2:$A$57,0),$B180)</f>
        <v>4.2324000000000001E-2</v>
      </c>
      <c r="D180" s="11">
        <f>INDEX(paste_TI!$B$2:$G$57,MATCH(MAX($A180,MIN($B180,6)+14),paste_TI!$A$2:$A$57,0),MIN($B180,6))</f>
        <v>3.888E-3</v>
      </c>
    </row>
    <row r="181" spans="1:4" ht="15" customHeight="1" x14ac:dyDescent="0.45">
      <c r="A181" s="8">
        <v>32</v>
      </c>
      <c r="B181" s="8">
        <v>10</v>
      </c>
      <c r="C181" s="11">
        <f>INDEX(paste_RI!$B$2:$K$57,MATCH(MAX($A181,$B181+14),paste_RI!$A$2:$A$57,0),$B181)</f>
        <v>3.0342000000000001E-2</v>
      </c>
      <c r="D181" s="11">
        <f>INDEX(paste_TI!$B$2:$G$57,MATCH(MAX($A181,MIN($B181,6)+14),paste_TI!$A$2:$A$57,0),MIN($B181,6))</f>
        <v>3.888E-3</v>
      </c>
    </row>
    <row r="182" spans="1:4" ht="15" customHeight="1" x14ac:dyDescent="0.45">
      <c r="A182" s="8">
        <v>33</v>
      </c>
      <c r="B182" s="8">
        <v>1</v>
      </c>
      <c r="C182" s="11">
        <f>INDEX(paste_RI!$B$2:$K$57,MATCH(MAX($A182,$B182+14),paste_RI!$A$2:$A$57,0),$B182)</f>
        <v>0.159525</v>
      </c>
      <c r="D182" s="11">
        <f>INDEX(paste_TI!$B$2:$G$57,MATCH(MAX($A182,MIN($B182,6)+14),paste_TI!$A$2:$A$57,0),MIN($B182,6))</f>
        <v>7.9120000000000006E-3</v>
      </c>
    </row>
    <row r="183" spans="1:4" ht="15" customHeight="1" x14ac:dyDescent="0.45">
      <c r="A183" s="8">
        <v>33</v>
      </c>
      <c r="B183" s="8">
        <v>2</v>
      </c>
      <c r="C183" s="11">
        <f>INDEX(paste_RI!$B$2:$K$57,MATCH(MAX($A183,$B183+14),paste_RI!$A$2:$A$57,0),$B183)</f>
        <v>0.146756</v>
      </c>
      <c r="D183" s="11">
        <f>INDEX(paste_TI!$B$2:$G$57,MATCH(MAX($A183,MIN($B183,6)+14),paste_TI!$A$2:$A$57,0),MIN($B183,6))</f>
        <v>1.4253999999999999E-2</v>
      </c>
    </row>
    <row r="184" spans="1:4" ht="15" customHeight="1" x14ac:dyDescent="0.45">
      <c r="A184" s="8">
        <v>33</v>
      </c>
      <c r="B184" s="8">
        <v>3</v>
      </c>
      <c r="C184" s="11">
        <f>INDEX(paste_RI!$B$2:$K$57,MATCH(MAX($A184,$B184+14),paste_RI!$A$2:$A$57,0),$B184)</f>
        <v>0.10992399999999999</v>
      </c>
      <c r="D184" s="11">
        <f>INDEX(paste_TI!$B$2:$G$57,MATCH(MAX($A184,MIN($B184,6)+14),paste_TI!$A$2:$A$57,0),MIN($B184,6))</f>
        <v>7.9120000000000006E-3</v>
      </c>
    </row>
    <row r="185" spans="1:4" ht="15" customHeight="1" x14ac:dyDescent="0.45">
      <c r="A185" s="8">
        <v>33</v>
      </c>
      <c r="B185" s="8">
        <v>4</v>
      </c>
      <c r="C185" s="11">
        <f>INDEX(paste_RI!$B$2:$K$57,MATCH(MAX($A185,$B185+14),paste_RI!$A$2:$A$57,0),$B185)</f>
        <v>0.119381</v>
      </c>
      <c r="D185" s="11">
        <f>INDEX(paste_TI!$B$2:$G$57,MATCH(MAX($A185,MIN($B185,6)+14),paste_TI!$A$2:$A$57,0),MIN($B185,6))</f>
        <v>3.888E-3</v>
      </c>
    </row>
    <row r="186" spans="1:4" ht="15" customHeight="1" x14ac:dyDescent="0.45">
      <c r="A186" s="8">
        <v>33</v>
      </c>
      <c r="B186" s="8">
        <v>5</v>
      </c>
      <c r="C186" s="11">
        <f>INDEX(paste_RI!$B$2:$K$57,MATCH(MAX($A186,$B186+14),paste_RI!$A$2:$A$57,0),$B186)</f>
        <v>0.108797</v>
      </c>
      <c r="D186" s="11">
        <f>INDEX(paste_TI!$B$2:$G$57,MATCH(MAX($A186,MIN($B186,6)+14),paste_TI!$A$2:$A$57,0),MIN($B186,6))</f>
        <v>3.888E-3</v>
      </c>
    </row>
    <row r="187" spans="1:4" ht="15" customHeight="1" x14ac:dyDescent="0.45">
      <c r="A187" s="8">
        <v>33</v>
      </c>
      <c r="B187" s="8">
        <v>6</v>
      </c>
      <c r="C187" s="11">
        <f>INDEX(paste_RI!$B$2:$K$57,MATCH(MAX($A187,$B187+14),paste_RI!$A$2:$A$57,0),$B187)</f>
        <v>7.2875999999999996E-2</v>
      </c>
      <c r="D187" s="11">
        <f>INDEX(paste_TI!$B$2:$G$57,MATCH(MAX($A187,MIN($B187,6)+14),paste_TI!$A$2:$A$57,0),MIN($B187,6))</f>
        <v>3.888E-3</v>
      </c>
    </row>
    <row r="188" spans="1:4" ht="15" customHeight="1" x14ac:dyDescent="0.45">
      <c r="A188" s="8">
        <v>33</v>
      </c>
      <c r="B188" s="8">
        <v>7</v>
      </c>
      <c r="C188" s="11">
        <f>INDEX(paste_RI!$B$2:$K$57,MATCH(MAX($A188,$B188+14),paste_RI!$A$2:$A$57,0),$B188)</f>
        <v>5.5252000000000002E-2</v>
      </c>
      <c r="D188" s="11">
        <f>INDEX(paste_TI!$B$2:$G$57,MATCH(MAX($A188,MIN($B188,6)+14),paste_TI!$A$2:$A$57,0),MIN($B188,6))</f>
        <v>3.888E-3</v>
      </c>
    </row>
    <row r="189" spans="1:4" ht="15" customHeight="1" x14ac:dyDescent="0.45">
      <c r="A189" s="8">
        <v>33</v>
      </c>
      <c r="B189" s="8">
        <v>8</v>
      </c>
      <c r="C189" s="11">
        <f>INDEX(paste_RI!$B$2:$K$57,MATCH(MAX($A189,$B189+14),paste_RI!$A$2:$A$57,0),$B189)</f>
        <v>4.5678999999999997E-2</v>
      </c>
      <c r="D189" s="11">
        <f>INDEX(paste_TI!$B$2:$G$57,MATCH(MAX($A189,MIN($B189,6)+14),paste_TI!$A$2:$A$57,0),MIN($B189,6))</f>
        <v>3.888E-3</v>
      </c>
    </row>
    <row r="190" spans="1:4" ht="15" customHeight="1" x14ac:dyDescent="0.45">
      <c r="A190" s="8">
        <v>33</v>
      </c>
      <c r="B190" s="8">
        <v>9</v>
      </c>
      <c r="C190" s="11">
        <f>INDEX(paste_RI!$B$2:$K$57,MATCH(MAX($A190,$B190+14),paste_RI!$A$2:$A$57,0),$B190)</f>
        <v>3.7719000000000003E-2</v>
      </c>
      <c r="D190" s="11">
        <f>INDEX(paste_TI!$B$2:$G$57,MATCH(MAX($A190,MIN($B190,6)+14),paste_TI!$A$2:$A$57,0),MIN($B190,6))</f>
        <v>3.888E-3</v>
      </c>
    </row>
    <row r="191" spans="1:4" ht="15" customHeight="1" x14ac:dyDescent="0.45">
      <c r="A191" s="8">
        <v>33</v>
      </c>
      <c r="B191" s="8">
        <v>10</v>
      </c>
      <c r="C191" s="11">
        <f>INDEX(paste_RI!$B$2:$K$57,MATCH(MAX($A191,$B191+14),paste_RI!$A$2:$A$57,0),$B191)</f>
        <v>2.7522000000000001E-2</v>
      </c>
      <c r="D191" s="11">
        <f>INDEX(paste_TI!$B$2:$G$57,MATCH(MAX($A191,MIN($B191,6)+14),paste_TI!$A$2:$A$57,0),MIN($B191,6))</f>
        <v>3.888E-3</v>
      </c>
    </row>
    <row r="192" spans="1:4" ht="15" customHeight="1" x14ac:dyDescent="0.45">
      <c r="A192" s="8">
        <v>34</v>
      </c>
      <c r="B192" s="8">
        <v>1</v>
      </c>
      <c r="C192" s="11">
        <f>INDEX(paste_RI!$B$2:$K$57,MATCH(MAX($A192,$B192+14),paste_RI!$A$2:$A$57,0),$B192)</f>
        <v>0.15848200000000001</v>
      </c>
      <c r="D192" s="11">
        <f>INDEX(paste_TI!$B$2:$G$57,MATCH(MAX($A192,MIN($B192,6)+14),paste_TI!$A$2:$A$57,0),MIN($B192,6))</f>
        <v>9.0860000000000003E-3</v>
      </c>
    </row>
    <row r="193" spans="1:4" ht="15" customHeight="1" x14ac:dyDescent="0.45">
      <c r="A193" s="8">
        <v>34</v>
      </c>
      <c r="B193" s="8">
        <v>2</v>
      </c>
      <c r="C193" s="11">
        <f>INDEX(paste_RI!$B$2:$K$57,MATCH(MAX($A193,$B193+14),paste_RI!$A$2:$A$57,0),$B193)</f>
        <v>0.14383299999999999</v>
      </c>
      <c r="D193" s="11">
        <f>INDEX(paste_TI!$B$2:$G$57,MATCH(MAX($A193,MIN($B193,6)+14),paste_TI!$A$2:$A$57,0),MIN($B193,6))</f>
        <v>1.5413E-2</v>
      </c>
    </row>
    <row r="194" spans="1:4" ht="15" customHeight="1" x14ac:dyDescent="0.45">
      <c r="A194" s="8">
        <v>34</v>
      </c>
      <c r="B194" s="8">
        <v>3</v>
      </c>
      <c r="C194" s="11">
        <f>INDEX(paste_RI!$B$2:$K$57,MATCH(MAX($A194,$B194+14),paste_RI!$A$2:$A$57,0),$B194)</f>
        <v>0.10581599999999999</v>
      </c>
      <c r="D194" s="11">
        <f>INDEX(paste_TI!$B$2:$G$57,MATCH(MAX($A194,MIN($B194,6)+14),paste_TI!$A$2:$A$57,0),MIN($B194,6))</f>
        <v>9.0860000000000003E-3</v>
      </c>
    </row>
    <row r="195" spans="1:4" ht="15" customHeight="1" x14ac:dyDescent="0.45">
      <c r="A195" s="8">
        <v>34</v>
      </c>
      <c r="B195" s="8">
        <v>4</v>
      </c>
      <c r="C195" s="11">
        <f>INDEX(paste_RI!$B$2:$K$57,MATCH(MAX($A195,$B195+14),paste_RI!$A$2:$A$57,0),$B195)</f>
        <v>0.113235</v>
      </c>
      <c r="D195" s="11">
        <f>INDEX(paste_TI!$B$2:$G$57,MATCH(MAX($A195,MIN($B195,6)+14),paste_TI!$A$2:$A$57,0),MIN($B195,6))</f>
        <v>4.5979999999999997E-3</v>
      </c>
    </row>
    <row r="196" spans="1:4" ht="15" customHeight="1" x14ac:dyDescent="0.45">
      <c r="A196" s="8">
        <v>34</v>
      </c>
      <c r="B196" s="8">
        <v>5</v>
      </c>
      <c r="C196" s="11">
        <f>INDEX(paste_RI!$B$2:$K$57,MATCH(MAX($A196,$B196+14),paste_RI!$A$2:$A$57,0),$B196)</f>
        <v>0.10059800000000001</v>
      </c>
      <c r="D196" s="11">
        <f>INDEX(paste_TI!$B$2:$G$57,MATCH(MAX($A196,MIN($B196,6)+14),paste_TI!$A$2:$A$57,0),MIN($B196,6))</f>
        <v>4.169E-3</v>
      </c>
    </row>
    <row r="197" spans="1:4" ht="15" customHeight="1" x14ac:dyDescent="0.45">
      <c r="A197" s="8">
        <v>34</v>
      </c>
      <c r="B197" s="8">
        <v>6</v>
      </c>
      <c r="C197" s="11">
        <f>INDEX(paste_RI!$B$2:$K$57,MATCH(MAX($A197,$B197+14),paste_RI!$A$2:$A$57,0),$B197)</f>
        <v>6.6278000000000004E-2</v>
      </c>
      <c r="D197" s="11">
        <f>INDEX(paste_TI!$B$2:$G$57,MATCH(MAX($A197,MIN($B197,6)+14),paste_TI!$A$2:$A$57,0),MIN($B197,6))</f>
        <v>4.169E-3</v>
      </c>
    </row>
    <row r="198" spans="1:4" ht="15" customHeight="1" x14ac:dyDescent="0.45">
      <c r="A198" s="8">
        <v>34</v>
      </c>
      <c r="B198" s="8">
        <v>7</v>
      </c>
      <c r="C198" s="11">
        <f>INDEX(paste_RI!$B$2:$K$57,MATCH(MAX($A198,$B198+14),paste_RI!$A$2:$A$57,0),$B198)</f>
        <v>5.0188999999999998E-2</v>
      </c>
      <c r="D198" s="11">
        <f>INDEX(paste_TI!$B$2:$G$57,MATCH(MAX($A198,MIN($B198,6)+14),paste_TI!$A$2:$A$57,0),MIN($B198,6))</f>
        <v>4.169E-3</v>
      </c>
    </row>
    <row r="199" spans="1:4" ht="15" customHeight="1" x14ac:dyDescent="0.45">
      <c r="A199" s="8">
        <v>34</v>
      </c>
      <c r="B199" s="8">
        <v>8</v>
      </c>
      <c r="C199" s="11">
        <f>INDEX(paste_RI!$B$2:$K$57,MATCH(MAX($A199,$B199+14),paste_RI!$A$2:$A$57,0),$B199)</f>
        <v>4.2458000000000003E-2</v>
      </c>
      <c r="D199" s="11">
        <f>INDEX(paste_TI!$B$2:$G$57,MATCH(MAX($A199,MIN($B199,6)+14),paste_TI!$A$2:$A$57,0),MIN($B199,6))</f>
        <v>4.169E-3</v>
      </c>
    </row>
    <row r="200" spans="1:4" ht="15" customHeight="1" x14ac:dyDescent="0.45">
      <c r="A200" s="8">
        <v>34</v>
      </c>
      <c r="B200" s="8">
        <v>9</v>
      </c>
      <c r="C200" s="11">
        <f>INDEX(paste_RI!$B$2:$K$57,MATCH(MAX($A200,$B200+14),paste_RI!$A$2:$A$57,0),$B200)</f>
        <v>3.3444000000000002E-2</v>
      </c>
      <c r="D200" s="11">
        <f>INDEX(paste_TI!$B$2:$G$57,MATCH(MAX($A200,MIN($B200,6)+14),paste_TI!$A$2:$A$57,0),MIN($B200,6))</f>
        <v>4.169E-3</v>
      </c>
    </row>
    <row r="201" spans="1:4" ht="15" customHeight="1" x14ac:dyDescent="0.45">
      <c r="A201" s="8">
        <v>34</v>
      </c>
      <c r="B201" s="8">
        <v>10</v>
      </c>
      <c r="C201" s="11">
        <f>INDEX(paste_RI!$B$2:$K$57,MATCH(MAX($A201,$B201+14),paste_RI!$A$2:$A$57,0),$B201)</f>
        <v>2.4667000000000001E-2</v>
      </c>
      <c r="D201" s="11">
        <f>INDEX(paste_TI!$B$2:$G$57,MATCH(MAX($A201,MIN($B201,6)+14),paste_TI!$A$2:$A$57,0),MIN($B201,6))</f>
        <v>4.169E-3</v>
      </c>
    </row>
    <row r="202" spans="1:4" ht="15" customHeight="1" x14ac:dyDescent="0.45">
      <c r="A202" s="8">
        <v>35</v>
      </c>
      <c r="B202" s="8">
        <v>1</v>
      </c>
      <c r="C202" s="11">
        <f>INDEX(paste_RI!$B$2:$K$57,MATCH(MAX($A202,$B202+14),paste_RI!$A$2:$A$57,0),$B202)</f>
        <v>0.15668799999999999</v>
      </c>
      <c r="D202" s="11">
        <f>INDEX(paste_TI!$B$2:$G$57,MATCH(MAX($A202,MIN($B202,6)+14),paste_TI!$A$2:$A$57,0),MIN($B202,6))</f>
        <v>1.0279E-2</v>
      </c>
    </row>
    <row r="203" spans="1:4" ht="15" customHeight="1" x14ac:dyDescent="0.45">
      <c r="A203" s="8">
        <v>35</v>
      </c>
      <c r="B203" s="8">
        <v>2</v>
      </c>
      <c r="C203" s="11">
        <f>INDEX(paste_RI!$B$2:$K$57,MATCH(MAX($A203,$B203+14),paste_RI!$A$2:$A$57,0),$B203)</f>
        <v>0.14094300000000001</v>
      </c>
      <c r="D203" s="11">
        <f>INDEX(paste_TI!$B$2:$G$57,MATCH(MAX($A203,MIN($B203,6)+14),paste_TI!$A$2:$A$57,0),MIN($B203,6))</f>
        <v>1.6576E-2</v>
      </c>
    </row>
    <row r="204" spans="1:4" ht="15" customHeight="1" x14ac:dyDescent="0.45">
      <c r="A204" s="8">
        <v>35</v>
      </c>
      <c r="B204" s="8">
        <v>3</v>
      </c>
      <c r="C204" s="11">
        <f>INDEX(paste_RI!$B$2:$K$57,MATCH(MAX($A204,$B204+14),paste_RI!$A$2:$A$57,0),$B204)</f>
        <v>0.101202</v>
      </c>
      <c r="D204" s="11">
        <f>INDEX(paste_TI!$B$2:$G$57,MATCH(MAX($A204,MIN($B204,6)+14),paste_TI!$A$2:$A$57,0),MIN($B204,6))</f>
        <v>1.0187999999999999E-2</v>
      </c>
    </row>
    <row r="205" spans="1:4" ht="15" customHeight="1" x14ac:dyDescent="0.45">
      <c r="A205" s="8">
        <v>35</v>
      </c>
      <c r="B205" s="8">
        <v>4</v>
      </c>
      <c r="C205" s="11">
        <f>INDEX(paste_RI!$B$2:$K$57,MATCH(MAX($A205,$B205+14),paste_RI!$A$2:$A$57,0),$B205)</f>
        <v>0.106674</v>
      </c>
      <c r="D205" s="11">
        <f>INDEX(paste_TI!$B$2:$G$57,MATCH(MAX($A205,MIN($B205,6)+14),paste_TI!$A$2:$A$57,0),MIN($B205,6))</f>
        <v>5.306E-3</v>
      </c>
    </row>
    <row r="206" spans="1:4" ht="15" customHeight="1" x14ac:dyDescent="0.45">
      <c r="A206" s="8">
        <v>35</v>
      </c>
      <c r="B206" s="8">
        <v>5</v>
      </c>
      <c r="C206" s="11">
        <f>INDEX(paste_RI!$B$2:$K$57,MATCH(MAX($A206,$B206+14),paste_RI!$A$2:$A$57,0),$B206)</f>
        <v>9.2353000000000005E-2</v>
      </c>
      <c r="D206" s="11">
        <f>INDEX(paste_TI!$B$2:$G$57,MATCH(MAX($A206,MIN($B206,6)+14),paste_TI!$A$2:$A$57,0),MIN($B206,6))</f>
        <v>4.6030000000000003E-3</v>
      </c>
    </row>
    <row r="207" spans="1:4" ht="15" customHeight="1" x14ac:dyDescent="0.45">
      <c r="A207" s="8">
        <v>35</v>
      </c>
      <c r="B207" s="8">
        <v>6</v>
      </c>
      <c r="C207" s="11">
        <f>INDEX(paste_RI!$B$2:$K$57,MATCH(MAX($A207,$B207+14),paste_RI!$A$2:$A$57,0),$B207)</f>
        <v>6.0220000000000003E-2</v>
      </c>
      <c r="D207" s="11">
        <f>INDEX(paste_TI!$B$2:$G$57,MATCH(MAX($A207,MIN($B207,6)+14),paste_TI!$A$2:$A$57,0),MIN($B207,6))</f>
        <v>4.4470000000000004E-3</v>
      </c>
    </row>
    <row r="208" spans="1:4" ht="15" customHeight="1" x14ac:dyDescent="0.45">
      <c r="A208" s="8">
        <v>35</v>
      </c>
      <c r="B208" s="8">
        <v>7</v>
      </c>
      <c r="C208" s="11">
        <f>INDEX(paste_RI!$B$2:$K$57,MATCH(MAX($A208,$B208+14),paste_RI!$A$2:$A$57,0),$B208)</f>
        <v>4.5552000000000002E-2</v>
      </c>
      <c r="D208" s="11">
        <f>INDEX(paste_TI!$B$2:$G$57,MATCH(MAX($A208,MIN($B208,6)+14),paste_TI!$A$2:$A$57,0),MIN($B208,6))</f>
        <v>4.4470000000000004E-3</v>
      </c>
    </row>
    <row r="209" spans="1:4" ht="15" customHeight="1" x14ac:dyDescent="0.45">
      <c r="A209" s="8">
        <v>35</v>
      </c>
      <c r="B209" s="8">
        <v>8</v>
      </c>
      <c r="C209" s="11">
        <f>INDEX(paste_RI!$B$2:$K$57,MATCH(MAX($A209,$B209+14),paste_RI!$A$2:$A$57,0),$B209)</f>
        <v>3.9274999999999997E-2</v>
      </c>
      <c r="D209" s="11">
        <f>INDEX(paste_TI!$B$2:$G$57,MATCH(MAX($A209,MIN($B209,6)+14),paste_TI!$A$2:$A$57,0),MIN($B209,6))</f>
        <v>4.4470000000000004E-3</v>
      </c>
    </row>
    <row r="210" spans="1:4" ht="15" customHeight="1" x14ac:dyDescent="0.45">
      <c r="A210" s="8">
        <v>35</v>
      </c>
      <c r="B210" s="8">
        <v>9</v>
      </c>
      <c r="C210" s="11">
        <f>INDEX(paste_RI!$B$2:$K$57,MATCH(MAX($A210,$B210+14),paste_RI!$A$2:$A$57,0),$B210)</f>
        <v>2.955E-2</v>
      </c>
      <c r="D210" s="11">
        <f>INDEX(paste_TI!$B$2:$G$57,MATCH(MAX($A210,MIN($B210,6)+14),paste_TI!$A$2:$A$57,0),MIN($B210,6))</f>
        <v>4.4470000000000004E-3</v>
      </c>
    </row>
    <row r="211" spans="1:4" ht="15" customHeight="1" x14ac:dyDescent="0.45">
      <c r="A211" s="8">
        <v>35</v>
      </c>
      <c r="B211" s="8">
        <v>10</v>
      </c>
      <c r="C211" s="11">
        <f>INDEX(paste_RI!$B$2:$K$57,MATCH(MAX($A211,$B211+14),paste_RI!$A$2:$A$57,0),$B211)</f>
        <v>2.1895000000000001E-2</v>
      </c>
      <c r="D211" s="11">
        <f>INDEX(paste_TI!$B$2:$G$57,MATCH(MAX($A211,MIN($B211,6)+14),paste_TI!$A$2:$A$57,0),MIN($B211,6))</f>
        <v>4.4470000000000004E-3</v>
      </c>
    </row>
    <row r="212" spans="1:4" ht="15" customHeight="1" x14ac:dyDescent="0.45">
      <c r="A212" s="8">
        <v>36</v>
      </c>
      <c r="B212" s="8">
        <v>1</v>
      </c>
      <c r="C212" s="11">
        <f>INDEX(paste_RI!$B$2:$K$57,MATCH(MAX($A212,$B212+14),paste_RI!$A$2:$A$57,0),$B212)</f>
        <v>0.154247</v>
      </c>
      <c r="D212" s="11">
        <f>INDEX(paste_TI!$B$2:$G$57,MATCH(MAX($A212,MIN($B212,6)+14),paste_TI!$A$2:$A$57,0),MIN($B212,6))</f>
        <v>1.1492E-2</v>
      </c>
    </row>
    <row r="213" spans="1:4" ht="15" customHeight="1" x14ac:dyDescent="0.45">
      <c r="A213" s="8">
        <v>36</v>
      </c>
      <c r="B213" s="8">
        <v>2</v>
      </c>
      <c r="C213" s="11">
        <f>INDEX(paste_RI!$B$2:$K$57,MATCH(MAX($A213,$B213+14),paste_RI!$A$2:$A$57,0),$B213)</f>
        <v>0.138159</v>
      </c>
      <c r="D213" s="11">
        <f>INDEX(paste_TI!$B$2:$G$57,MATCH(MAX($A213,MIN($B213,6)+14),paste_TI!$A$2:$A$57,0),MIN($B213,6))</f>
        <v>1.7745E-2</v>
      </c>
    </row>
    <row r="214" spans="1:4" ht="15" customHeight="1" x14ac:dyDescent="0.45">
      <c r="A214" s="8">
        <v>36</v>
      </c>
      <c r="B214" s="8">
        <v>3</v>
      </c>
      <c r="C214" s="11">
        <f>INDEX(paste_RI!$B$2:$K$57,MATCH(MAX($A214,$B214+14),paste_RI!$A$2:$A$57,0),$B214)</f>
        <v>9.6225000000000005E-2</v>
      </c>
      <c r="D214" s="11">
        <f>INDEX(paste_TI!$B$2:$G$57,MATCH(MAX($A214,MIN($B214,6)+14),paste_TI!$A$2:$A$57,0),MIN($B214,6))</f>
        <v>1.0999E-2</v>
      </c>
    </row>
    <row r="215" spans="1:4" ht="15" customHeight="1" x14ac:dyDescent="0.45">
      <c r="A215" s="8">
        <v>36</v>
      </c>
      <c r="B215" s="8">
        <v>4</v>
      </c>
      <c r="C215" s="11">
        <f>INDEX(paste_RI!$B$2:$K$57,MATCH(MAX($A215,$B215+14),paste_RI!$A$2:$A$57,0),$B215)</f>
        <v>9.9708000000000005E-2</v>
      </c>
      <c r="D215" s="11">
        <f>INDEX(paste_TI!$B$2:$G$57,MATCH(MAX($A215,MIN($B215,6)+14),paste_TI!$A$2:$A$57,0),MIN($B215,6))</f>
        <v>6.012E-3</v>
      </c>
    </row>
    <row r="216" spans="1:4" ht="15" customHeight="1" x14ac:dyDescent="0.45">
      <c r="A216" s="8">
        <v>36</v>
      </c>
      <c r="B216" s="8">
        <v>5</v>
      </c>
      <c r="C216" s="11">
        <f>INDEX(paste_RI!$B$2:$K$57,MATCH(MAX($A216,$B216+14),paste_RI!$A$2:$A$57,0),$B216)</f>
        <v>8.4289000000000003E-2</v>
      </c>
      <c r="D216" s="11">
        <f>INDEX(paste_TI!$B$2:$G$57,MATCH(MAX($A216,MIN($B216,6)+14),paste_TI!$A$2:$A$57,0),MIN($B216,6))</f>
        <v>5.0359999999999997E-3</v>
      </c>
    </row>
    <row r="217" spans="1:4" ht="15" customHeight="1" x14ac:dyDescent="0.45">
      <c r="A217" s="8">
        <v>36</v>
      </c>
      <c r="B217" s="8">
        <v>6</v>
      </c>
      <c r="C217" s="11">
        <f>INDEX(paste_RI!$B$2:$K$57,MATCH(MAX($A217,$B217+14),paste_RI!$A$2:$A$57,0),$B217)</f>
        <v>5.4815999999999997E-2</v>
      </c>
      <c r="D217" s="11">
        <f>INDEX(paste_TI!$B$2:$G$57,MATCH(MAX($A217,MIN($B217,6)+14),paste_TI!$A$2:$A$57,0),MIN($B217,6))</f>
        <v>4.5890000000000002E-3</v>
      </c>
    </row>
    <row r="218" spans="1:4" ht="15" customHeight="1" x14ac:dyDescent="0.45">
      <c r="A218" s="8">
        <v>36</v>
      </c>
      <c r="B218" s="8">
        <v>7</v>
      </c>
      <c r="C218" s="11">
        <f>INDEX(paste_RI!$B$2:$K$57,MATCH(MAX($A218,$B218+14),paste_RI!$A$2:$A$57,0),$B218)</f>
        <v>4.1315999999999999E-2</v>
      </c>
      <c r="D218" s="11">
        <f>INDEX(paste_TI!$B$2:$G$57,MATCH(MAX($A218,MIN($B218,6)+14),paste_TI!$A$2:$A$57,0),MIN($B218,6))</f>
        <v>4.5890000000000002E-3</v>
      </c>
    </row>
    <row r="219" spans="1:4" ht="15" customHeight="1" x14ac:dyDescent="0.45">
      <c r="A219" s="8">
        <v>36</v>
      </c>
      <c r="B219" s="8">
        <v>8</v>
      </c>
      <c r="C219" s="11">
        <f>INDEX(paste_RI!$B$2:$K$57,MATCH(MAX($A219,$B219+14),paste_RI!$A$2:$A$57,0),$B219)</f>
        <v>3.6221000000000003E-2</v>
      </c>
      <c r="D219" s="11">
        <f>INDEX(paste_TI!$B$2:$G$57,MATCH(MAX($A219,MIN($B219,6)+14),paste_TI!$A$2:$A$57,0),MIN($B219,6))</f>
        <v>4.5890000000000002E-3</v>
      </c>
    </row>
    <row r="220" spans="1:4" ht="15" customHeight="1" x14ac:dyDescent="0.45">
      <c r="A220" s="8">
        <v>36</v>
      </c>
      <c r="B220" s="8">
        <v>9</v>
      </c>
      <c r="C220" s="11">
        <f>INDEX(paste_RI!$B$2:$K$57,MATCH(MAX($A220,$B220+14),paste_RI!$A$2:$A$57,0),$B220)</f>
        <v>2.6113000000000001E-2</v>
      </c>
      <c r="D220" s="11">
        <f>INDEX(paste_TI!$B$2:$G$57,MATCH(MAX($A220,MIN($B220,6)+14),paste_TI!$A$2:$A$57,0),MIN($B220,6))</f>
        <v>4.5890000000000002E-3</v>
      </c>
    </row>
    <row r="221" spans="1:4" ht="15" customHeight="1" x14ac:dyDescent="0.45">
      <c r="A221" s="8">
        <v>36</v>
      </c>
      <c r="B221" s="8">
        <v>10</v>
      </c>
      <c r="C221" s="11">
        <f>INDEX(paste_RI!$B$2:$K$57,MATCH(MAX($A221,$B221+14),paste_RI!$A$2:$A$57,0),$B221)</f>
        <v>1.9268E-2</v>
      </c>
      <c r="D221" s="11">
        <f>INDEX(paste_TI!$B$2:$G$57,MATCH(MAX($A221,MIN($B221,6)+14),paste_TI!$A$2:$A$57,0),MIN($B221,6))</f>
        <v>4.5890000000000002E-3</v>
      </c>
    </row>
    <row r="222" spans="1:4" ht="15" customHeight="1" x14ac:dyDescent="0.45">
      <c r="A222" s="8">
        <v>37</v>
      </c>
      <c r="B222" s="8">
        <v>1</v>
      </c>
      <c r="C222" s="11">
        <f>INDEX(paste_RI!$B$2:$K$57,MATCH(MAX($A222,$B222+14),paste_RI!$A$2:$A$57,0),$B222)</f>
        <v>0.151029</v>
      </c>
      <c r="D222" s="11">
        <f>INDEX(paste_TI!$B$2:$G$57,MATCH(MAX($A222,MIN($B222,6)+14),paste_TI!$A$2:$A$57,0),MIN($B222,6))</f>
        <v>1.2727E-2</v>
      </c>
    </row>
    <row r="223" spans="1:4" ht="15" customHeight="1" x14ac:dyDescent="0.45">
      <c r="A223" s="8">
        <v>37</v>
      </c>
      <c r="B223" s="8">
        <v>2</v>
      </c>
      <c r="C223" s="11">
        <f>INDEX(paste_RI!$B$2:$K$57,MATCH(MAX($A223,$B223+14),paste_RI!$A$2:$A$57,0),$B223)</f>
        <v>0.135522</v>
      </c>
      <c r="D223" s="11">
        <f>INDEX(paste_TI!$B$2:$G$57,MATCH(MAX($A223,MIN($B223,6)+14),paste_TI!$A$2:$A$57,0),MIN($B223,6))</f>
        <v>1.8918999999999998E-2</v>
      </c>
    </row>
    <row r="224" spans="1:4" ht="15" customHeight="1" x14ac:dyDescent="0.45">
      <c r="A224" s="8">
        <v>37</v>
      </c>
      <c r="B224" s="8">
        <v>3</v>
      </c>
      <c r="C224" s="11">
        <f>INDEX(paste_RI!$B$2:$K$57,MATCH(MAX($A224,$B224+14),paste_RI!$A$2:$A$57,0),$B224)</f>
        <v>9.1086E-2</v>
      </c>
      <c r="D224" s="11">
        <f>INDEX(paste_TI!$B$2:$G$57,MATCH(MAX($A224,MIN($B224,6)+14),paste_TI!$A$2:$A$57,0),MIN($B224,6))</f>
        <v>1.1809999999999999E-2</v>
      </c>
    </row>
    <row r="225" spans="1:4" ht="15" customHeight="1" x14ac:dyDescent="0.45">
      <c r="A225" s="8">
        <v>37</v>
      </c>
      <c r="B225" s="8">
        <v>4</v>
      </c>
      <c r="C225" s="11">
        <f>INDEX(paste_RI!$B$2:$K$57,MATCH(MAX($A225,$B225+14),paste_RI!$A$2:$A$57,0),$B225)</f>
        <v>9.2235999999999999E-2</v>
      </c>
      <c r="D225" s="11">
        <f>INDEX(paste_TI!$B$2:$G$57,MATCH(MAX($A225,MIN($B225,6)+14),paste_TI!$A$2:$A$57,0),MIN($B225,6))</f>
        <v>6.7149999999999996E-3</v>
      </c>
    </row>
    <row r="226" spans="1:4" ht="15" customHeight="1" x14ac:dyDescent="0.45">
      <c r="A226" s="8">
        <v>37</v>
      </c>
      <c r="B226" s="8">
        <v>5</v>
      </c>
      <c r="C226" s="11">
        <f>INDEX(paste_RI!$B$2:$K$57,MATCH(MAX($A226,$B226+14),paste_RI!$A$2:$A$57,0),$B226)</f>
        <v>7.6499999999999999E-2</v>
      </c>
      <c r="D226" s="11">
        <f>INDEX(paste_TI!$B$2:$G$57,MATCH(MAX($A226,MIN($B226,6)+14),paste_TI!$A$2:$A$57,0),MIN($B226,6))</f>
        <v>5.4679999999999998E-3</v>
      </c>
    </row>
    <row r="227" spans="1:4" ht="15" customHeight="1" x14ac:dyDescent="0.45">
      <c r="A227" s="8">
        <v>37</v>
      </c>
      <c r="B227" s="8">
        <v>6</v>
      </c>
      <c r="C227" s="11">
        <f>INDEX(paste_RI!$B$2:$K$57,MATCH(MAX($A227,$B227+14),paste_RI!$A$2:$A$57,0),$B227)</f>
        <v>5.0118000000000003E-2</v>
      </c>
      <c r="D227" s="11">
        <f>INDEX(paste_TI!$B$2:$G$57,MATCH(MAX($A227,MIN($B227,6)+14),paste_TI!$A$2:$A$57,0),MIN($B227,6))</f>
        <v>4.7330000000000002E-3</v>
      </c>
    </row>
    <row r="228" spans="1:4" ht="15" customHeight="1" x14ac:dyDescent="0.45">
      <c r="A228" s="8">
        <v>37</v>
      </c>
      <c r="B228" s="8">
        <v>7</v>
      </c>
      <c r="C228" s="11">
        <f>INDEX(paste_RI!$B$2:$K$57,MATCH(MAX($A228,$B228+14),paste_RI!$A$2:$A$57,0),$B228)</f>
        <v>3.7470999999999997E-2</v>
      </c>
      <c r="D228" s="11">
        <f>INDEX(paste_TI!$B$2:$G$57,MATCH(MAX($A228,MIN($B228,6)+14),paste_TI!$A$2:$A$57,0),MIN($B228,6))</f>
        <v>4.7330000000000002E-3</v>
      </c>
    </row>
    <row r="229" spans="1:4" ht="15" customHeight="1" x14ac:dyDescent="0.45">
      <c r="A229" s="8">
        <v>37</v>
      </c>
      <c r="B229" s="8">
        <v>8</v>
      </c>
      <c r="C229" s="11">
        <f>INDEX(paste_RI!$B$2:$K$57,MATCH(MAX($A229,$B229+14),paste_RI!$A$2:$A$57,0),$B229)</f>
        <v>3.3321000000000003E-2</v>
      </c>
      <c r="D229" s="11">
        <f>INDEX(paste_TI!$B$2:$G$57,MATCH(MAX($A229,MIN($B229,6)+14),paste_TI!$A$2:$A$57,0),MIN($B229,6))</f>
        <v>4.7330000000000002E-3</v>
      </c>
    </row>
    <row r="230" spans="1:4" ht="15" customHeight="1" x14ac:dyDescent="0.45">
      <c r="A230" s="8">
        <v>37</v>
      </c>
      <c r="B230" s="8">
        <v>9</v>
      </c>
      <c r="C230" s="11">
        <f>INDEX(paste_RI!$B$2:$K$57,MATCH(MAX($A230,$B230+14),paste_RI!$A$2:$A$57,0),$B230)</f>
        <v>2.3203999999999999E-2</v>
      </c>
      <c r="D230" s="11">
        <f>INDEX(paste_TI!$B$2:$G$57,MATCH(MAX($A230,MIN($B230,6)+14),paste_TI!$A$2:$A$57,0),MIN($B230,6))</f>
        <v>4.7330000000000002E-3</v>
      </c>
    </row>
    <row r="231" spans="1:4" ht="15" customHeight="1" x14ac:dyDescent="0.45">
      <c r="A231" s="8">
        <v>37</v>
      </c>
      <c r="B231" s="8">
        <v>10</v>
      </c>
      <c r="C231" s="11">
        <f>INDEX(paste_RI!$B$2:$K$57,MATCH(MAX($A231,$B231+14),paste_RI!$A$2:$A$57,0),$B231)</f>
        <v>1.6778000000000001E-2</v>
      </c>
      <c r="D231" s="11">
        <f>INDEX(paste_TI!$B$2:$G$57,MATCH(MAX($A231,MIN($B231,6)+14),paste_TI!$A$2:$A$57,0),MIN($B231,6))</f>
        <v>4.7330000000000002E-3</v>
      </c>
    </row>
    <row r="232" spans="1:4" ht="15" customHeight="1" x14ac:dyDescent="0.45">
      <c r="A232" s="8">
        <v>38</v>
      </c>
      <c r="B232" s="8">
        <v>1</v>
      </c>
      <c r="C232" s="11">
        <f>INDEX(paste_RI!$B$2:$K$57,MATCH(MAX($A232,$B232+14),paste_RI!$A$2:$A$57,0),$B232)</f>
        <v>0.14699599999999999</v>
      </c>
      <c r="D232" s="11">
        <f>INDEX(paste_TI!$B$2:$G$57,MATCH(MAX($A232,MIN($B232,6)+14),paste_TI!$A$2:$A$57,0),MIN($B232,6))</f>
        <v>1.3984E-2</v>
      </c>
    </row>
    <row r="233" spans="1:4" ht="15" customHeight="1" x14ac:dyDescent="0.45">
      <c r="A233" s="8">
        <v>38</v>
      </c>
      <c r="B233" s="8">
        <v>2</v>
      </c>
      <c r="C233" s="11">
        <f>INDEX(paste_RI!$B$2:$K$57,MATCH(MAX($A233,$B233+14),paste_RI!$A$2:$A$57,0),$B233)</f>
        <v>0.13286500000000001</v>
      </c>
      <c r="D233" s="11">
        <f>INDEX(paste_TI!$B$2:$G$57,MATCH(MAX($A233,MIN($B233,6)+14),paste_TI!$A$2:$A$57,0),MIN($B233,6))</f>
        <v>2.0101000000000001E-2</v>
      </c>
    </row>
    <row r="234" spans="1:4" ht="15" customHeight="1" x14ac:dyDescent="0.45">
      <c r="A234" s="8">
        <v>38</v>
      </c>
      <c r="B234" s="8">
        <v>3</v>
      </c>
      <c r="C234" s="11">
        <f>INDEX(paste_RI!$B$2:$K$57,MATCH(MAX($A234,$B234+14),paste_RI!$A$2:$A$57,0),$B234)</f>
        <v>8.6238999999999996E-2</v>
      </c>
      <c r="D234" s="11">
        <f>INDEX(paste_TI!$B$2:$G$57,MATCH(MAX($A234,MIN($B234,6)+14),paste_TI!$A$2:$A$57,0),MIN($B234,6))</f>
        <v>1.2621E-2</v>
      </c>
    </row>
    <row r="235" spans="1:4" ht="15" customHeight="1" x14ac:dyDescent="0.45">
      <c r="A235" s="8">
        <v>38</v>
      </c>
      <c r="B235" s="8">
        <v>4</v>
      </c>
      <c r="C235" s="11">
        <f>INDEX(paste_RI!$B$2:$K$57,MATCH(MAX($A235,$B235+14),paste_RI!$A$2:$A$57,0),$B235)</f>
        <v>8.4515000000000007E-2</v>
      </c>
      <c r="D235" s="11">
        <f>INDEX(paste_TI!$B$2:$G$57,MATCH(MAX($A235,MIN($B235,6)+14),paste_TI!$A$2:$A$57,0),MIN($B235,6))</f>
        <v>7.4159999999999998E-3</v>
      </c>
    </row>
    <row r="236" spans="1:4" ht="15" customHeight="1" x14ac:dyDescent="0.45">
      <c r="A236" s="8">
        <v>38</v>
      </c>
      <c r="B236" s="8">
        <v>5</v>
      </c>
      <c r="C236" s="11">
        <f>INDEX(paste_RI!$B$2:$K$57,MATCH(MAX($A236,$B236+14),paste_RI!$A$2:$A$57,0),$B236)</f>
        <v>6.9136000000000003E-2</v>
      </c>
      <c r="D236" s="11">
        <f>INDEX(paste_TI!$B$2:$G$57,MATCH(MAX($A236,MIN($B236,6)+14),paste_TI!$A$2:$A$57,0),MIN($B236,6))</f>
        <v>5.9020000000000001E-3</v>
      </c>
    </row>
    <row r="237" spans="1:4" ht="15" customHeight="1" x14ac:dyDescent="0.45">
      <c r="A237" s="8">
        <v>38</v>
      </c>
      <c r="B237" s="8">
        <v>6</v>
      </c>
      <c r="C237" s="11">
        <f>INDEX(paste_RI!$B$2:$K$57,MATCH(MAX($A237,$B237+14),paste_RI!$A$2:$A$57,0),$B237)</f>
        <v>4.6015E-2</v>
      </c>
      <c r="D237" s="11">
        <f>INDEX(paste_TI!$B$2:$G$57,MATCH(MAX($A237,MIN($B237,6)+14),paste_TI!$A$2:$A$57,0),MIN($B237,6))</f>
        <v>4.8770000000000003E-3</v>
      </c>
    </row>
    <row r="238" spans="1:4" ht="15" customHeight="1" x14ac:dyDescent="0.45">
      <c r="A238" s="8">
        <v>38</v>
      </c>
      <c r="B238" s="8">
        <v>7</v>
      </c>
      <c r="C238" s="11">
        <f>INDEX(paste_RI!$B$2:$K$57,MATCH(MAX($A238,$B238+14),paste_RI!$A$2:$A$57,0),$B238)</f>
        <v>3.3992000000000001E-2</v>
      </c>
      <c r="D238" s="11">
        <f>INDEX(paste_TI!$B$2:$G$57,MATCH(MAX($A238,MIN($B238,6)+14),paste_TI!$A$2:$A$57,0),MIN($B238,6))</f>
        <v>4.8770000000000003E-3</v>
      </c>
    </row>
    <row r="239" spans="1:4" ht="15" customHeight="1" x14ac:dyDescent="0.45">
      <c r="A239" s="8">
        <v>38</v>
      </c>
      <c r="B239" s="8">
        <v>8</v>
      </c>
      <c r="C239" s="11">
        <f>INDEX(paste_RI!$B$2:$K$57,MATCH(MAX($A239,$B239+14),paste_RI!$A$2:$A$57,0),$B239)</f>
        <v>3.0564999999999998E-2</v>
      </c>
      <c r="D239" s="11">
        <f>INDEX(paste_TI!$B$2:$G$57,MATCH(MAX($A239,MIN($B239,6)+14),paste_TI!$A$2:$A$57,0),MIN($B239,6))</f>
        <v>4.8770000000000003E-3</v>
      </c>
    </row>
    <row r="240" spans="1:4" ht="15" customHeight="1" x14ac:dyDescent="0.45">
      <c r="A240" s="8">
        <v>38</v>
      </c>
      <c r="B240" s="8">
        <v>9</v>
      </c>
      <c r="C240" s="11">
        <f>INDEX(paste_RI!$B$2:$K$57,MATCH(MAX($A240,$B240+14),paste_RI!$A$2:$A$57,0),$B240)</f>
        <v>2.0797E-2</v>
      </c>
      <c r="D240" s="11">
        <f>INDEX(paste_TI!$B$2:$G$57,MATCH(MAX($A240,MIN($B240,6)+14),paste_TI!$A$2:$A$57,0),MIN($B240,6))</f>
        <v>4.8770000000000003E-3</v>
      </c>
    </row>
    <row r="241" spans="1:4" ht="15" customHeight="1" x14ac:dyDescent="0.45">
      <c r="A241" s="8">
        <v>38</v>
      </c>
      <c r="B241" s="8">
        <v>10</v>
      </c>
      <c r="C241" s="11">
        <f>INDEX(paste_RI!$B$2:$K$57,MATCH(MAX($A241,$B241+14),paste_RI!$A$2:$A$57,0),$B241)</f>
        <v>1.4572999999999999E-2</v>
      </c>
      <c r="D241" s="11">
        <f>INDEX(paste_TI!$B$2:$G$57,MATCH(MAX($A241,MIN($B241,6)+14),paste_TI!$A$2:$A$57,0),MIN($B241,6))</f>
        <v>4.8770000000000003E-3</v>
      </c>
    </row>
    <row r="242" spans="1:4" ht="15" customHeight="1" x14ac:dyDescent="0.45">
      <c r="A242" s="8">
        <v>39</v>
      </c>
      <c r="B242" s="8">
        <v>1</v>
      </c>
      <c r="C242" s="11">
        <f>INDEX(paste_RI!$B$2:$K$57,MATCH(MAX($A242,$B242+14),paste_RI!$A$2:$A$57,0),$B242)</f>
        <v>0.142344</v>
      </c>
      <c r="D242" s="11">
        <f>INDEX(paste_TI!$B$2:$G$57,MATCH(MAX($A242,MIN($B242,6)+14),paste_TI!$A$2:$A$57,0),MIN($B242,6))</f>
        <v>1.5265000000000001E-2</v>
      </c>
    </row>
    <row r="243" spans="1:4" ht="15" customHeight="1" x14ac:dyDescent="0.45">
      <c r="A243" s="8">
        <v>39</v>
      </c>
      <c r="B243" s="8">
        <v>2</v>
      </c>
      <c r="C243" s="11">
        <f>INDEX(paste_RI!$B$2:$K$57,MATCH(MAX($A243,$B243+14),paste_RI!$A$2:$A$57,0),$B243)</f>
        <v>0.13011800000000001</v>
      </c>
      <c r="D243" s="11">
        <f>INDEX(paste_TI!$B$2:$G$57,MATCH(MAX($A243,MIN($B243,6)+14),paste_TI!$A$2:$A$57,0),MIN($B243,6))</f>
        <v>2.1292999999999999E-2</v>
      </c>
    </row>
    <row r="244" spans="1:4" ht="15" customHeight="1" x14ac:dyDescent="0.45">
      <c r="A244" s="8">
        <v>39</v>
      </c>
      <c r="B244" s="8">
        <v>3</v>
      </c>
      <c r="C244" s="11">
        <f>INDEX(paste_RI!$B$2:$K$57,MATCH(MAX($A244,$B244+14),paste_RI!$A$2:$A$57,0),$B244)</f>
        <v>8.1739999999999993E-2</v>
      </c>
      <c r="D244" s="11">
        <f>INDEX(paste_TI!$B$2:$G$57,MATCH(MAX($A244,MIN($B244,6)+14),paste_TI!$A$2:$A$57,0),MIN($B244,6))</f>
        <v>1.3429E-2</v>
      </c>
    </row>
    <row r="245" spans="1:4" ht="15" customHeight="1" x14ac:dyDescent="0.45">
      <c r="A245" s="8">
        <v>39</v>
      </c>
      <c r="B245" s="8">
        <v>4</v>
      </c>
      <c r="C245" s="11">
        <f>INDEX(paste_RI!$B$2:$K$57,MATCH(MAX($A245,$B245+14),paste_RI!$A$2:$A$57,0),$B245)</f>
        <v>7.6943999999999999E-2</v>
      </c>
      <c r="D245" s="11">
        <f>INDEX(paste_TI!$B$2:$G$57,MATCH(MAX($A245,MIN($B245,6)+14),paste_TI!$A$2:$A$57,0),MIN($B245,6))</f>
        <v>8.1150000000000007E-3</v>
      </c>
    </row>
    <row r="246" spans="1:4" ht="15" customHeight="1" x14ac:dyDescent="0.45">
      <c r="A246" s="8">
        <v>39</v>
      </c>
      <c r="B246" s="8">
        <v>5</v>
      </c>
      <c r="C246" s="11">
        <f>INDEX(paste_RI!$B$2:$K$57,MATCH(MAX($A246,$B246+14),paste_RI!$A$2:$A$57,0),$B246)</f>
        <v>6.2324999999999998E-2</v>
      </c>
      <c r="D246" s="11">
        <f>INDEX(paste_TI!$B$2:$G$57,MATCH(MAX($A246,MIN($B246,6)+14),paste_TI!$A$2:$A$57,0),MIN($B246,6))</f>
        <v>6.339E-3</v>
      </c>
    </row>
    <row r="247" spans="1:4" ht="15" customHeight="1" x14ac:dyDescent="0.45">
      <c r="A247" s="8">
        <v>39</v>
      </c>
      <c r="B247" s="8">
        <v>6</v>
      </c>
      <c r="C247" s="11">
        <f>INDEX(paste_RI!$B$2:$K$57,MATCH(MAX($A247,$B247+14),paste_RI!$A$2:$A$57,0),$B247)</f>
        <v>4.2284000000000002E-2</v>
      </c>
      <c r="D247" s="11">
        <f>INDEX(paste_TI!$B$2:$G$57,MATCH(MAX($A247,MIN($B247,6)+14),paste_TI!$A$2:$A$57,0),MIN($B247,6))</f>
        <v>5.025E-3</v>
      </c>
    </row>
    <row r="248" spans="1:4" ht="15" customHeight="1" x14ac:dyDescent="0.45">
      <c r="A248" s="8">
        <v>39</v>
      </c>
      <c r="B248" s="8">
        <v>7</v>
      </c>
      <c r="C248" s="11">
        <f>INDEX(paste_RI!$B$2:$K$57,MATCH(MAX($A248,$B248+14),paste_RI!$A$2:$A$57,0),$B248)</f>
        <v>3.0814999999999999E-2</v>
      </c>
      <c r="D248" s="11">
        <f>INDEX(paste_TI!$B$2:$G$57,MATCH(MAX($A248,MIN($B248,6)+14),paste_TI!$A$2:$A$57,0),MIN($B248,6))</f>
        <v>5.025E-3</v>
      </c>
    </row>
    <row r="249" spans="1:4" ht="15" customHeight="1" x14ac:dyDescent="0.45">
      <c r="A249" s="8">
        <v>39</v>
      </c>
      <c r="B249" s="8">
        <v>8</v>
      </c>
      <c r="C249" s="11">
        <f>INDEX(paste_RI!$B$2:$K$57,MATCH(MAX($A249,$B249+14),paste_RI!$A$2:$A$57,0),$B249)</f>
        <v>2.7876999999999999E-2</v>
      </c>
      <c r="D249" s="11">
        <f>INDEX(paste_TI!$B$2:$G$57,MATCH(MAX($A249,MIN($B249,6)+14),paste_TI!$A$2:$A$57,0),MIN($B249,6))</f>
        <v>5.025E-3</v>
      </c>
    </row>
    <row r="250" spans="1:4" ht="15" customHeight="1" x14ac:dyDescent="0.45">
      <c r="A250" s="8">
        <v>39</v>
      </c>
      <c r="B250" s="8">
        <v>9</v>
      </c>
      <c r="C250" s="11">
        <f>INDEX(paste_RI!$B$2:$K$57,MATCH(MAX($A250,$B250+14),paste_RI!$A$2:$A$57,0),$B250)</f>
        <v>1.8839999999999999E-2</v>
      </c>
      <c r="D250" s="11">
        <f>INDEX(paste_TI!$B$2:$G$57,MATCH(MAX($A250,MIN($B250,6)+14),paste_TI!$A$2:$A$57,0),MIN($B250,6))</f>
        <v>5.025E-3</v>
      </c>
    </row>
    <row r="251" spans="1:4" ht="15" customHeight="1" x14ac:dyDescent="0.45">
      <c r="A251" s="8">
        <v>39</v>
      </c>
      <c r="B251" s="8">
        <v>10</v>
      </c>
      <c r="C251" s="11">
        <f>INDEX(paste_RI!$B$2:$K$57,MATCH(MAX($A251,$B251+14),paste_RI!$A$2:$A$57,0),$B251)</f>
        <v>1.2695E-2</v>
      </c>
      <c r="D251" s="11">
        <f>INDEX(paste_TI!$B$2:$G$57,MATCH(MAX($A251,MIN($B251,6)+14),paste_TI!$A$2:$A$57,0),MIN($B251,6))</f>
        <v>5.025E-3</v>
      </c>
    </row>
    <row r="252" spans="1:4" ht="15" customHeight="1" x14ac:dyDescent="0.45">
      <c r="A252" s="8">
        <v>40</v>
      </c>
      <c r="B252" s="8">
        <v>1</v>
      </c>
      <c r="C252" s="11">
        <f>INDEX(paste_RI!$B$2:$K$57,MATCH(MAX($A252,$B252+14),paste_RI!$A$2:$A$57,0),$B252)</f>
        <v>0.137295</v>
      </c>
      <c r="D252" s="11">
        <f>INDEX(paste_TI!$B$2:$G$57,MATCH(MAX($A252,MIN($B252,6)+14),paste_TI!$A$2:$A$57,0),MIN($B252,6))</f>
        <v>1.6569E-2</v>
      </c>
    </row>
    <row r="253" spans="1:4" ht="15" customHeight="1" x14ac:dyDescent="0.45">
      <c r="A253" s="8">
        <v>40</v>
      </c>
      <c r="B253" s="8">
        <v>2</v>
      </c>
      <c r="C253" s="11">
        <f>INDEX(paste_RI!$B$2:$K$57,MATCH(MAX($A253,$B253+14),paste_RI!$A$2:$A$57,0),$B253)</f>
        <v>0.127363</v>
      </c>
      <c r="D253" s="11">
        <f>INDEX(paste_TI!$B$2:$G$57,MATCH(MAX($A253,MIN($B253,6)+14),paste_TI!$A$2:$A$57,0),MIN($B253,6))</f>
        <v>2.2502000000000001E-2</v>
      </c>
    </row>
    <row r="254" spans="1:4" ht="15" customHeight="1" x14ac:dyDescent="0.45">
      <c r="A254" s="8">
        <v>40</v>
      </c>
      <c r="B254" s="8">
        <v>3</v>
      </c>
      <c r="C254" s="11">
        <f>INDEX(paste_RI!$B$2:$K$57,MATCH(MAX($A254,$B254+14),paste_RI!$A$2:$A$57,0),$B254)</f>
        <v>7.7403E-2</v>
      </c>
      <c r="D254" s="11">
        <f>INDEX(paste_TI!$B$2:$G$57,MATCH(MAX($A254,MIN($B254,6)+14),paste_TI!$A$2:$A$57,0),MIN($B254,6))</f>
        <v>1.4234E-2</v>
      </c>
    </row>
    <row r="255" spans="1:4" ht="15" customHeight="1" x14ac:dyDescent="0.45">
      <c r="A255" s="8">
        <v>40</v>
      </c>
      <c r="B255" s="8">
        <v>4</v>
      </c>
      <c r="C255" s="11">
        <f>INDEX(paste_RI!$B$2:$K$57,MATCH(MAX($A255,$B255+14),paste_RI!$A$2:$A$57,0),$B255)</f>
        <v>6.9685999999999998E-2</v>
      </c>
      <c r="D255" s="11">
        <f>INDEX(paste_TI!$B$2:$G$57,MATCH(MAX($A255,MIN($B255,6)+14),paste_TI!$A$2:$A$57,0),MIN($B255,6))</f>
        <v>8.8109999999999994E-3</v>
      </c>
    </row>
    <row r="256" spans="1:4" ht="15" customHeight="1" x14ac:dyDescent="0.45">
      <c r="A256" s="8">
        <v>40</v>
      </c>
      <c r="B256" s="8">
        <v>5</v>
      </c>
      <c r="C256" s="11">
        <f>INDEX(paste_RI!$B$2:$K$57,MATCH(MAX($A256,$B256+14),paste_RI!$A$2:$A$57,0),$B256)</f>
        <v>5.6096E-2</v>
      </c>
      <c r="D256" s="11">
        <f>INDEX(paste_TI!$B$2:$G$57,MATCH(MAX($A256,MIN($B256,6)+14),paste_TI!$A$2:$A$57,0),MIN($B256,6))</f>
        <v>6.7809999999999997E-3</v>
      </c>
    </row>
    <row r="257" spans="1:4" ht="15" customHeight="1" x14ac:dyDescent="0.45">
      <c r="A257" s="8">
        <v>40</v>
      </c>
      <c r="B257" s="8">
        <v>6</v>
      </c>
      <c r="C257" s="11">
        <f>INDEX(paste_RI!$B$2:$K$57,MATCH(MAX($A257,$B257+14),paste_RI!$A$2:$A$57,0),$B257)</f>
        <v>3.8746000000000003E-2</v>
      </c>
      <c r="D257" s="11">
        <f>INDEX(paste_TI!$B$2:$G$57,MATCH(MAX($A257,MIN($B257,6)+14),paste_TI!$A$2:$A$57,0),MIN($B257,6))</f>
        <v>5.1840000000000002E-3</v>
      </c>
    </row>
    <row r="258" spans="1:4" ht="15" customHeight="1" x14ac:dyDescent="0.45">
      <c r="A258" s="8">
        <v>40</v>
      </c>
      <c r="B258" s="8">
        <v>7</v>
      </c>
      <c r="C258" s="11">
        <f>INDEX(paste_RI!$B$2:$K$57,MATCH(MAX($A258,$B258+14),paste_RI!$A$2:$A$57,0),$B258)</f>
        <v>2.7883000000000002E-2</v>
      </c>
      <c r="D258" s="11">
        <f>INDEX(paste_TI!$B$2:$G$57,MATCH(MAX($A258,MIN($B258,6)+14),paste_TI!$A$2:$A$57,0),MIN($B258,6))</f>
        <v>5.1840000000000002E-3</v>
      </c>
    </row>
    <row r="259" spans="1:4" ht="15" customHeight="1" x14ac:dyDescent="0.45">
      <c r="A259" s="8">
        <v>40</v>
      </c>
      <c r="B259" s="8">
        <v>8</v>
      </c>
      <c r="C259" s="11">
        <f>INDEX(paste_RI!$B$2:$K$57,MATCH(MAX($A259,$B259+14),paste_RI!$A$2:$A$57,0),$B259)</f>
        <v>2.5238E-2</v>
      </c>
      <c r="D259" s="11">
        <f>INDEX(paste_TI!$B$2:$G$57,MATCH(MAX($A259,MIN($B259,6)+14),paste_TI!$A$2:$A$57,0),MIN($B259,6))</f>
        <v>5.1840000000000002E-3</v>
      </c>
    </row>
    <row r="260" spans="1:4" ht="15" customHeight="1" x14ac:dyDescent="0.45">
      <c r="A260" s="8">
        <v>40</v>
      </c>
      <c r="B260" s="8">
        <v>9</v>
      </c>
      <c r="C260" s="11">
        <f>INDEX(paste_RI!$B$2:$K$57,MATCH(MAX($A260,$B260+14),paste_RI!$A$2:$A$57,0),$B260)</f>
        <v>1.7271000000000002E-2</v>
      </c>
      <c r="D260" s="11">
        <f>INDEX(paste_TI!$B$2:$G$57,MATCH(MAX($A260,MIN($B260,6)+14),paste_TI!$A$2:$A$57,0),MIN($B260,6))</f>
        <v>5.1840000000000002E-3</v>
      </c>
    </row>
    <row r="261" spans="1:4" ht="15" customHeight="1" x14ac:dyDescent="0.45">
      <c r="A261" s="8">
        <v>40</v>
      </c>
      <c r="B261" s="8">
        <v>10</v>
      </c>
      <c r="C261" s="11">
        <f>INDEX(paste_RI!$B$2:$K$57,MATCH(MAX($A261,$B261+14),paste_RI!$A$2:$A$57,0),$B261)</f>
        <v>1.1158E-2</v>
      </c>
      <c r="D261" s="11">
        <f>INDEX(paste_TI!$B$2:$G$57,MATCH(MAX($A261,MIN($B261,6)+14),paste_TI!$A$2:$A$57,0),MIN($B261,6))</f>
        <v>5.1840000000000002E-3</v>
      </c>
    </row>
    <row r="262" spans="1:4" ht="15" customHeight="1" x14ac:dyDescent="0.45">
      <c r="A262" s="8">
        <v>41</v>
      </c>
      <c r="B262" s="8">
        <v>1</v>
      </c>
      <c r="C262" s="11">
        <f>INDEX(paste_RI!$B$2:$K$57,MATCH(MAX($A262,$B262+14),paste_RI!$A$2:$A$57,0),$B262)</f>
        <v>0.13205800000000001</v>
      </c>
      <c r="D262" s="11">
        <f>INDEX(paste_TI!$B$2:$G$57,MATCH(MAX($A262,MIN($B262,6)+14),paste_TI!$A$2:$A$57,0),MIN($B262,6))</f>
        <v>1.7898000000000001E-2</v>
      </c>
    </row>
    <row r="263" spans="1:4" ht="15" customHeight="1" x14ac:dyDescent="0.45">
      <c r="A263" s="8">
        <v>41</v>
      </c>
      <c r="B263" s="8">
        <v>2</v>
      </c>
      <c r="C263" s="11">
        <f>INDEX(paste_RI!$B$2:$K$57,MATCH(MAX($A263,$B263+14),paste_RI!$A$2:$A$57,0),$B263)</f>
        <v>0.124156</v>
      </c>
      <c r="D263" s="11">
        <f>INDEX(paste_TI!$B$2:$G$57,MATCH(MAX($A263,MIN($B263,6)+14),paste_TI!$A$2:$A$57,0),MIN($B263,6))</f>
        <v>2.3729E-2</v>
      </c>
    </row>
    <row r="264" spans="1:4" ht="15" customHeight="1" x14ac:dyDescent="0.45">
      <c r="A264" s="8">
        <v>41</v>
      </c>
      <c r="B264" s="8">
        <v>3</v>
      </c>
      <c r="C264" s="11">
        <f>INDEX(paste_RI!$B$2:$K$57,MATCH(MAX($A264,$B264+14),paste_RI!$A$2:$A$57,0),$B264)</f>
        <v>7.3053000000000007E-2</v>
      </c>
      <c r="D264" s="11">
        <f>INDEX(paste_TI!$B$2:$G$57,MATCH(MAX($A264,MIN($B264,6)+14),paste_TI!$A$2:$A$57,0),MIN($B264,6))</f>
        <v>1.5042E-2</v>
      </c>
    </row>
    <row r="265" spans="1:4" ht="15" customHeight="1" x14ac:dyDescent="0.45">
      <c r="A265" s="8">
        <v>41</v>
      </c>
      <c r="B265" s="8">
        <v>4</v>
      </c>
      <c r="C265" s="11">
        <f>INDEX(paste_RI!$B$2:$K$57,MATCH(MAX($A265,$B265+14),paste_RI!$A$2:$A$57,0),$B265)</f>
        <v>6.2719999999999998E-2</v>
      </c>
      <c r="D265" s="11">
        <f>INDEX(paste_TI!$B$2:$G$57,MATCH(MAX($A265,MIN($B265,6)+14),paste_TI!$A$2:$A$57,0),MIN($B265,6))</f>
        <v>9.5090000000000001E-3</v>
      </c>
    </row>
    <row r="266" spans="1:4" ht="15" customHeight="1" x14ac:dyDescent="0.45">
      <c r="A266" s="8">
        <v>41</v>
      </c>
      <c r="B266" s="8">
        <v>5</v>
      </c>
      <c r="C266" s="11">
        <f>INDEX(paste_RI!$B$2:$K$57,MATCH(MAX($A266,$B266+14),paste_RI!$A$2:$A$57,0),$B266)</f>
        <v>5.0458999999999997E-2</v>
      </c>
      <c r="D266" s="11">
        <f>INDEX(paste_TI!$B$2:$G$57,MATCH(MAX($A266,MIN($B266,6)+14),paste_TI!$A$2:$A$57,0),MIN($B266,6))</f>
        <v>7.2300000000000003E-3</v>
      </c>
    </row>
    <row r="267" spans="1:4" ht="15" customHeight="1" x14ac:dyDescent="0.45">
      <c r="A267" s="8">
        <v>41</v>
      </c>
      <c r="B267" s="8">
        <v>6</v>
      </c>
      <c r="C267" s="11">
        <f>INDEX(paste_RI!$B$2:$K$57,MATCH(MAX($A267,$B267+14),paste_RI!$A$2:$A$57,0),$B267)</f>
        <v>3.5352000000000001E-2</v>
      </c>
      <c r="D267" s="11">
        <f>INDEX(paste_TI!$B$2:$G$57,MATCH(MAX($A267,MIN($B267,6)+14),paste_TI!$A$2:$A$57,0),MIN($B267,6))</f>
        <v>5.359E-3</v>
      </c>
    </row>
    <row r="268" spans="1:4" ht="15" customHeight="1" x14ac:dyDescent="0.45">
      <c r="A268" s="8">
        <v>41</v>
      </c>
      <c r="B268" s="8">
        <v>7</v>
      </c>
      <c r="C268" s="11">
        <f>INDEX(paste_RI!$B$2:$K$57,MATCH(MAX($A268,$B268+14),paste_RI!$A$2:$A$57,0),$B268)</f>
        <v>2.5211999999999998E-2</v>
      </c>
      <c r="D268" s="11">
        <f>INDEX(paste_TI!$B$2:$G$57,MATCH(MAX($A268,MIN($B268,6)+14),paste_TI!$A$2:$A$57,0),MIN($B268,6))</f>
        <v>5.359E-3</v>
      </c>
    </row>
    <row r="269" spans="1:4" ht="15" customHeight="1" x14ac:dyDescent="0.45">
      <c r="A269" s="8">
        <v>41</v>
      </c>
      <c r="B269" s="8">
        <v>8</v>
      </c>
      <c r="C269" s="11">
        <f>INDEX(paste_RI!$B$2:$K$57,MATCH(MAX($A269,$B269+14),paste_RI!$A$2:$A$57,0),$B269)</f>
        <v>2.2744E-2</v>
      </c>
      <c r="D269" s="11">
        <f>INDEX(paste_TI!$B$2:$G$57,MATCH(MAX($A269,MIN($B269,6)+14),paste_TI!$A$2:$A$57,0),MIN($B269,6))</f>
        <v>5.359E-3</v>
      </c>
    </row>
    <row r="270" spans="1:4" ht="15" customHeight="1" x14ac:dyDescent="0.45">
      <c r="A270" s="8">
        <v>41</v>
      </c>
      <c r="B270" s="8">
        <v>9</v>
      </c>
      <c r="C270" s="11">
        <f>INDEX(paste_RI!$B$2:$K$57,MATCH(MAX($A270,$B270+14),paste_RI!$A$2:$A$57,0),$B270)</f>
        <v>1.6004999999999998E-2</v>
      </c>
      <c r="D270" s="11">
        <f>INDEX(paste_TI!$B$2:$G$57,MATCH(MAX($A270,MIN($B270,6)+14),paste_TI!$A$2:$A$57,0),MIN($B270,6))</f>
        <v>5.359E-3</v>
      </c>
    </row>
    <row r="271" spans="1:4" ht="15" customHeight="1" x14ac:dyDescent="0.45">
      <c r="A271" s="8">
        <v>41</v>
      </c>
      <c r="B271" s="8">
        <v>10</v>
      </c>
      <c r="C271" s="11">
        <f>INDEX(paste_RI!$B$2:$K$57,MATCH(MAX($A271,$B271+14),paste_RI!$A$2:$A$57,0),$B271)</f>
        <v>9.8410000000000008E-3</v>
      </c>
      <c r="D271" s="11">
        <f>INDEX(paste_TI!$B$2:$G$57,MATCH(MAX($A271,MIN($B271,6)+14),paste_TI!$A$2:$A$57,0),MIN($B271,6))</f>
        <v>5.359E-3</v>
      </c>
    </row>
    <row r="272" spans="1:4" ht="15" customHeight="1" x14ac:dyDescent="0.45">
      <c r="A272" s="8">
        <v>42</v>
      </c>
      <c r="B272" s="8">
        <v>1</v>
      </c>
      <c r="C272" s="11">
        <f>INDEX(paste_RI!$B$2:$K$57,MATCH(MAX($A272,$B272+14),paste_RI!$A$2:$A$57,0),$B272)</f>
        <v>0.12690899999999999</v>
      </c>
      <c r="D272" s="11">
        <f>INDEX(paste_TI!$B$2:$G$57,MATCH(MAX($A272,MIN($B272,6)+14),paste_TI!$A$2:$A$57,0),MIN($B272,6))</f>
        <v>1.9247E-2</v>
      </c>
    </row>
    <row r="273" spans="1:4" ht="15" customHeight="1" x14ac:dyDescent="0.45">
      <c r="A273" s="8">
        <v>42</v>
      </c>
      <c r="B273" s="8">
        <v>2</v>
      </c>
      <c r="C273" s="11">
        <f>INDEX(paste_RI!$B$2:$K$57,MATCH(MAX($A273,$B273+14),paste_RI!$A$2:$A$57,0),$B273)</f>
        <v>0.120321</v>
      </c>
      <c r="D273" s="11">
        <f>INDEX(paste_TI!$B$2:$G$57,MATCH(MAX($A273,MIN($B273,6)+14),paste_TI!$A$2:$A$57,0),MIN($B273,6))</f>
        <v>2.4969999999999999E-2</v>
      </c>
    </row>
    <row r="274" spans="1:4" ht="15" customHeight="1" x14ac:dyDescent="0.45">
      <c r="A274" s="8">
        <v>42</v>
      </c>
      <c r="B274" s="8">
        <v>3</v>
      </c>
      <c r="C274" s="11">
        <f>INDEX(paste_RI!$B$2:$K$57,MATCH(MAX($A274,$B274+14),paste_RI!$A$2:$A$57,0),$B274)</f>
        <v>6.8565000000000001E-2</v>
      </c>
      <c r="D274" s="11">
        <f>INDEX(paste_TI!$B$2:$G$57,MATCH(MAX($A274,MIN($B274,6)+14),paste_TI!$A$2:$A$57,0),MIN($B274,6))</f>
        <v>1.5859000000000002E-2</v>
      </c>
    </row>
    <row r="275" spans="1:4" ht="15" customHeight="1" x14ac:dyDescent="0.45">
      <c r="A275" s="8">
        <v>42</v>
      </c>
      <c r="B275" s="8">
        <v>4</v>
      </c>
      <c r="C275" s="11">
        <f>INDEX(paste_RI!$B$2:$K$57,MATCH(MAX($A275,$B275+14),paste_RI!$A$2:$A$57,0),$B275)</f>
        <v>5.6120000000000003E-2</v>
      </c>
      <c r="D275" s="11">
        <f>INDEX(paste_TI!$B$2:$G$57,MATCH(MAX($A275,MIN($B275,6)+14),paste_TI!$A$2:$A$57,0),MIN($B275,6))</f>
        <v>1.0211E-2</v>
      </c>
    </row>
    <row r="276" spans="1:4" ht="15" customHeight="1" x14ac:dyDescent="0.45">
      <c r="A276" s="8">
        <v>42</v>
      </c>
      <c r="B276" s="8">
        <v>5</v>
      </c>
      <c r="C276" s="11">
        <f>INDEX(paste_RI!$B$2:$K$57,MATCH(MAX($A276,$B276+14),paste_RI!$A$2:$A$57,0),$B276)</f>
        <v>4.5282999999999997E-2</v>
      </c>
      <c r="D276" s="11">
        <f>INDEX(paste_TI!$B$2:$G$57,MATCH(MAX($A276,MIN($B276,6)+14),paste_TI!$A$2:$A$57,0),MIN($B276,6))</f>
        <v>7.6839999999999999E-3</v>
      </c>
    </row>
    <row r="277" spans="1:4" ht="15" customHeight="1" x14ac:dyDescent="0.45">
      <c r="A277" s="8">
        <v>42</v>
      </c>
      <c r="B277" s="8">
        <v>6</v>
      </c>
      <c r="C277" s="11">
        <f>INDEX(paste_RI!$B$2:$K$57,MATCH(MAX($A277,$B277+14),paste_RI!$A$2:$A$57,0),$B277)</f>
        <v>3.2024999999999998E-2</v>
      </c>
      <c r="D277" s="11">
        <f>INDEX(paste_TI!$B$2:$G$57,MATCH(MAX($A277,MIN($B277,6)+14),paste_TI!$A$2:$A$57,0),MIN($B277,6))</f>
        <v>5.5640000000000004E-3</v>
      </c>
    </row>
    <row r="278" spans="1:4" ht="15" customHeight="1" x14ac:dyDescent="0.45">
      <c r="A278" s="8">
        <v>42</v>
      </c>
      <c r="B278" s="8">
        <v>7</v>
      </c>
      <c r="C278" s="11">
        <f>INDEX(paste_RI!$B$2:$K$57,MATCH(MAX($A278,$B278+14),paste_RI!$A$2:$A$57,0),$B278)</f>
        <v>2.2828999999999999E-2</v>
      </c>
      <c r="D278" s="11">
        <f>INDEX(paste_TI!$B$2:$G$57,MATCH(MAX($A278,MIN($B278,6)+14),paste_TI!$A$2:$A$57,0),MIN($B278,6))</f>
        <v>5.5640000000000004E-3</v>
      </c>
    </row>
    <row r="279" spans="1:4" ht="15" customHeight="1" x14ac:dyDescent="0.45">
      <c r="A279" s="8">
        <v>42</v>
      </c>
      <c r="B279" s="8">
        <v>8</v>
      </c>
      <c r="C279" s="11">
        <f>INDEX(paste_RI!$B$2:$K$57,MATCH(MAX($A279,$B279+14),paste_RI!$A$2:$A$57,0),$B279)</f>
        <v>2.0417000000000001E-2</v>
      </c>
      <c r="D279" s="11">
        <f>INDEX(paste_TI!$B$2:$G$57,MATCH(MAX($A279,MIN($B279,6)+14),paste_TI!$A$2:$A$57,0),MIN($B279,6))</f>
        <v>5.5640000000000004E-3</v>
      </c>
    </row>
    <row r="280" spans="1:4" ht="15" customHeight="1" x14ac:dyDescent="0.45">
      <c r="A280" s="8">
        <v>42</v>
      </c>
      <c r="B280" s="8">
        <v>9</v>
      </c>
      <c r="C280" s="11">
        <f>INDEX(paste_RI!$B$2:$K$57,MATCH(MAX($A280,$B280+14),paste_RI!$A$2:$A$57,0),$B280)</f>
        <v>1.4942E-2</v>
      </c>
      <c r="D280" s="11">
        <f>INDEX(paste_TI!$B$2:$G$57,MATCH(MAX($A280,MIN($B280,6)+14),paste_TI!$A$2:$A$57,0),MIN($B280,6))</f>
        <v>5.5640000000000004E-3</v>
      </c>
    </row>
    <row r="281" spans="1:4" ht="15" customHeight="1" x14ac:dyDescent="0.45">
      <c r="A281" s="8">
        <v>42</v>
      </c>
      <c r="B281" s="8">
        <v>10</v>
      </c>
      <c r="C281" s="11">
        <f>INDEX(paste_RI!$B$2:$K$57,MATCH(MAX($A281,$B281+14),paste_RI!$A$2:$A$57,0),$B281)</f>
        <v>8.7279999999999996E-3</v>
      </c>
      <c r="D281" s="11">
        <f>INDEX(paste_TI!$B$2:$G$57,MATCH(MAX($A281,MIN($B281,6)+14),paste_TI!$A$2:$A$57,0),MIN($B281,6))</f>
        <v>5.5640000000000004E-3</v>
      </c>
    </row>
    <row r="282" spans="1:4" ht="15" customHeight="1" x14ac:dyDescent="0.45">
      <c r="A282" s="8">
        <v>43</v>
      </c>
      <c r="B282" s="8">
        <v>1</v>
      </c>
      <c r="C282" s="11">
        <f>INDEX(paste_RI!$B$2:$K$57,MATCH(MAX($A282,$B282+14),paste_RI!$A$2:$A$57,0),$B282)</f>
        <v>0.12174</v>
      </c>
      <c r="D282" s="11">
        <f>INDEX(paste_TI!$B$2:$G$57,MATCH(MAX($A282,MIN($B282,6)+14),paste_TI!$A$2:$A$57,0),MIN($B282,6))</f>
        <v>2.0611000000000001E-2</v>
      </c>
    </row>
    <row r="283" spans="1:4" ht="15" customHeight="1" x14ac:dyDescent="0.45">
      <c r="A283" s="8">
        <v>43</v>
      </c>
      <c r="B283" s="8">
        <v>2</v>
      </c>
      <c r="C283" s="11">
        <f>INDEX(paste_RI!$B$2:$K$57,MATCH(MAX($A283,$B283+14),paste_RI!$A$2:$A$57,0),$B283)</f>
        <v>0.11601</v>
      </c>
      <c r="D283" s="11">
        <f>INDEX(paste_TI!$B$2:$G$57,MATCH(MAX($A283,MIN($B283,6)+14),paste_TI!$A$2:$A$57,0),MIN($B283,6))</f>
        <v>2.622E-2</v>
      </c>
    </row>
    <row r="284" spans="1:4" ht="15" customHeight="1" x14ac:dyDescent="0.45">
      <c r="A284" s="8">
        <v>43</v>
      </c>
      <c r="B284" s="8">
        <v>3</v>
      </c>
      <c r="C284" s="11">
        <f>INDEX(paste_RI!$B$2:$K$57,MATCH(MAX($A284,$B284+14),paste_RI!$A$2:$A$57,0),$B284)</f>
        <v>6.3700000000000007E-2</v>
      </c>
      <c r="D284" s="11">
        <f>INDEX(paste_TI!$B$2:$G$57,MATCH(MAX($A284,MIN($B284,6)+14),paste_TI!$A$2:$A$57,0),MIN($B284,6))</f>
        <v>1.669E-2</v>
      </c>
    </row>
    <row r="285" spans="1:4" ht="15" customHeight="1" x14ac:dyDescent="0.45">
      <c r="A285" s="8">
        <v>43</v>
      </c>
      <c r="B285" s="8">
        <v>4</v>
      </c>
      <c r="C285" s="11">
        <f>INDEX(paste_RI!$B$2:$K$57,MATCH(MAX($A285,$B285+14),paste_RI!$A$2:$A$57,0),$B285)</f>
        <v>4.9841999999999997E-2</v>
      </c>
      <c r="D285" s="11">
        <f>INDEX(paste_TI!$B$2:$G$57,MATCH(MAX($A285,MIN($B285,6)+14),paste_TI!$A$2:$A$57,0),MIN($B285,6))</f>
        <v>1.0921999999999999E-2</v>
      </c>
    </row>
    <row r="286" spans="1:4" ht="15" customHeight="1" x14ac:dyDescent="0.45">
      <c r="A286" s="8">
        <v>43</v>
      </c>
      <c r="B286" s="8">
        <v>5</v>
      </c>
      <c r="C286" s="11">
        <f>INDEX(paste_RI!$B$2:$K$57,MATCH(MAX($A286,$B286+14),paste_RI!$A$2:$A$57,0),$B286)</f>
        <v>4.0455999999999999E-2</v>
      </c>
      <c r="D286" s="11">
        <f>INDEX(paste_TI!$B$2:$G$57,MATCH(MAX($A286,MIN($B286,6)+14),paste_TI!$A$2:$A$57,0),MIN($B286,6))</f>
        <v>8.1460000000000005E-3</v>
      </c>
    </row>
    <row r="287" spans="1:4" ht="15" customHeight="1" x14ac:dyDescent="0.45">
      <c r="A287" s="8">
        <v>43</v>
      </c>
      <c r="B287" s="8">
        <v>6</v>
      </c>
      <c r="C287" s="11">
        <f>INDEX(paste_RI!$B$2:$K$57,MATCH(MAX($A287,$B287+14),paste_RI!$A$2:$A$57,0),$B287)</f>
        <v>2.8788999999999999E-2</v>
      </c>
      <c r="D287" s="11">
        <f>INDEX(paste_TI!$B$2:$G$57,MATCH(MAX($A287,MIN($B287,6)+14),paste_TI!$A$2:$A$57,0),MIN($B287,6))</f>
        <v>5.8100000000000001E-3</v>
      </c>
    </row>
    <row r="288" spans="1:4" ht="15" customHeight="1" x14ac:dyDescent="0.45">
      <c r="A288" s="8">
        <v>43</v>
      </c>
      <c r="B288" s="8">
        <v>7</v>
      </c>
      <c r="C288" s="11">
        <f>INDEX(paste_RI!$B$2:$K$57,MATCH(MAX($A288,$B288+14),paste_RI!$A$2:$A$57,0),$B288)</f>
        <v>2.0737999999999999E-2</v>
      </c>
      <c r="D288" s="11">
        <f>INDEX(paste_TI!$B$2:$G$57,MATCH(MAX($A288,MIN($B288,6)+14),paste_TI!$A$2:$A$57,0),MIN($B288,6))</f>
        <v>5.8100000000000001E-3</v>
      </c>
    </row>
    <row r="289" spans="1:4" ht="15" customHeight="1" x14ac:dyDescent="0.45">
      <c r="A289" s="8">
        <v>43</v>
      </c>
      <c r="B289" s="8">
        <v>8</v>
      </c>
      <c r="C289" s="11">
        <f>INDEX(paste_RI!$B$2:$K$57,MATCH(MAX($A289,$B289+14),paste_RI!$A$2:$A$57,0),$B289)</f>
        <v>1.8211000000000001E-2</v>
      </c>
      <c r="D289" s="11">
        <f>INDEX(paste_TI!$B$2:$G$57,MATCH(MAX($A289,MIN($B289,6)+14),paste_TI!$A$2:$A$57,0),MIN($B289,6))</f>
        <v>5.8100000000000001E-3</v>
      </c>
    </row>
    <row r="290" spans="1:4" ht="15" customHeight="1" x14ac:dyDescent="0.45">
      <c r="A290" s="8">
        <v>43</v>
      </c>
      <c r="B290" s="8">
        <v>9</v>
      </c>
      <c r="C290" s="11">
        <f>INDEX(paste_RI!$B$2:$K$57,MATCH(MAX($A290,$B290+14),paste_RI!$A$2:$A$57,0),$B290)</f>
        <v>1.3958999999999999E-2</v>
      </c>
      <c r="D290" s="11">
        <f>INDEX(paste_TI!$B$2:$G$57,MATCH(MAX($A290,MIN($B290,6)+14),paste_TI!$A$2:$A$57,0),MIN($B290,6))</f>
        <v>5.8100000000000001E-3</v>
      </c>
    </row>
    <row r="291" spans="1:4" ht="15" customHeight="1" x14ac:dyDescent="0.45">
      <c r="A291" s="8">
        <v>43</v>
      </c>
      <c r="B291" s="8">
        <v>10</v>
      </c>
      <c r="C291" s="11">
        <f>INDEX(paste_RI!$B$2:$K$57,MATCH(MAX($A291,$B291+14),paste_RI!$A$2:$A$57,0),$B291)</f>
        <v>7.7419999999999998E-3</v>
      </c>
      <c r="D291" s="11">
        <f>INDEX(paste_TI!$B$2:$G$57,MATCH(MAX($A291,MIN($B291,6)+14),paste_TI!$A$2:$A$57,0),MIN($B291,6))</f>
        <v>5.8100000000000001E-3</v>
      </c>
    </row>
    <row r="292" spans="1:4" ht="15" customHeight="1" x14ac:dyDescent="0.45">
      <c r="A292" s="8">
        <v>44</v>
      </c>
      <c r="B292" s="8">
        <v>1</v>
      </c>
      <c r="C292" s="11">
        <f>INDEX(paste_RI!$B$2:$K$57,MATCH(MAX($A292,$B292+14),paste_RI!$A$2:$A$57,0),$B292)</f>
        <v>0.11665200000000001</v>
      </c>
      <c r="D292" s="11">
        <f>INDEX(paste_TI!$B$2:$G$57,MATCH(MAX($A292,MIN($B292,6)+14),paste_TI!$A$2:$A$57,0),MIN($B292,6))</f>
        <v>2.1985999999999999E-2</v>
      </c>
    </row>
    <row r="293" spans="1:4" ht="15" customHeight="1" x14ac:dyDescent="0.45">
      <c r="A293" s="8">
        <v>44</v>
      </c>
      <c r="B293" s="8">
        <v>2</v>
      </c>
      <c r="C293" s="11">
        <f>INDEX(paste_RI!$B$2:$K$57,MATCH(MAX($A293,$B293+14),paste_RI!$A$2:$A$57,0),$B293)</f>
        <v>0.111378</v>
      </c>
      <c r="D293" s="11">
        <f>INDEX(paste_TI!$B$2:$G$57,MATCH(MAX($A293,MIN($B293,6)+14),paste_TI!$A$2:$A$57,0),MIN($B293,6))</f>
        <v>2.7477000000000001E-2</v>
      </c>
    </row>
    <row r="294" spans="1:4" ht="15" customHeight="1" x14ac:dyDescent="0.45">
      <c r="A294" s="8">
        <v>44</v>
      </c>
      <c r="B294" s="8">
        <v>3</v>
      </c>
      <c r="C294" s="11">
        <f>INDEX(paste_RI!$B$2:$K$57,MATCH(MAX($A294,$B294+14),paste_RI!$A$2:$A$57,0),$B294)</f>
        <v>5.8686000000000002E-2</v>
      </c>
      <c r="D294" s="11">
        <f>INDEX(paste_TI!$B$2:$G$57,MATCH(MAX($A294,MIN($B294,6)+14),paste_TI!$A$2:$A$57,0),MIN($B294,6))</f>
        <v>1.7538999999999999E-2</v>
      </c>
    </row>
    <row r="295" spans="1:4" ht="15" customHeight="1" x14ac:dyDescent="0.45">
      <c r="A295" s="8">
        <v>44</v>
      </c>
      <c r="B295" s="8">
        <v>4</v>
      </c>
      <c r="C295" s="11">
        <f>INDEX(paste_RI!$B$2:$K$57,MATCH(MAX($A295,$B295+14),paste_RI!$A$2:$A$57,0),$B295)</f>
        <v>4.3982E-2</v>
      </c>
      <c r="D295" s="11">
        <f>INDEX(paste_TI!$B$2:$G$57,MATCH(MAX($A295,MIN($B295,6)+14),paste_TI!$A$2:$A$57,0),MIN($B295,6))</f>
        <v>1.1645000000000001E-2</v>
      </c>
    </row>
    <row r="296" spans="1:4" ht="15" customHeight="1" x14ac:dyDescent="0.45">
      <c r="A296" s="8">
        <v>44</v>
      </c>
      <c r="B296" s="8">
        <v>5</v>
      </c>
      <c r="C296" s="11">
        <f>INDEX(paste_RI!$B$2:$K$57,MATCH(MAX($A296,$B296+14),paste_RI!$A$2:$A$57,0),$B296)</f>
        <v>3.5951999999999998E-2</v>
      </c>
      <c r="D296" s="11">
        <f>INDEX(paste_TI!$B$2:$G$57,MATCH(MAX($A296,MIN($B296,6)+14),paste_TI!$A$2:$A$57,0),MIN($B296,6))</f>
        <v>8.6169999999999997E-3</v>
      </c>
    </row>
    <row r="297" spans="1:4" ht="15" customHeight="1" x14ac:dyDescent="0.45">
      <c r="A297" s="8">
        <v>44</v>
      </c>
      <c r="B297" s="8">
        <v>6</v>
      </c>
      <c r="C297" s="11">
        <f>INDEX(paste_RI!$B$2:$K$57,MATCH(MAX($A297,$B297+14),paste_RI!$A$2:$A$57,0),$B297)</f>
        <v>2.5692E-2</v>
      </c>
      <c r="D297" s="11">
        <f>INDEX(paste_TI!$B$2:$G$57,MATCH(MAX($A297,MIN($B297,6)+14),paste_TI!$A$2:$A$57,0),MIN($B297,6))</f>
        <v>6.1079999999999997E-3</v>
      </c>
    </row>
    <row r="298" spans="1:4" ht="15" customHeight="1" x14ac:dyDescent="0.45">
      <c r="A298" s="8">
        <v>44</v>
      </c>
      <c r="B298" s="8">
        <v>7</v>
      </c>
      <c r="C298" s="11">
        <f>INDEX(paste_RI!$B$2:$K$57,MATCH(MAX($A298,$B298+14),paste_RI!$A$2:$A$57,0),$B298)</f>
        <v>1.8915999999999999E-2</v>
      </c>
      <c r="D298" s="11">
        <f>INDEX(paste_TI!$B$2:$G$57,MATCH(MAX($A298,MIN($B298,6)+14),paste_TI!$A$2:$A$57,0),MIN($B298,6))</f>
        <v>6.1079999999999997E-3</v>
      </c>
    </row>
    <row r="299" spans="1:4" ht="15" customHeight="1" x14ac:dyDescent="0.45">
      <c r="A299" s="8">
        <v>44</v>
      </c>
      <c r="B299" s="8">
        <v>8</v>
      </c>
      <c r="C299" s="11">
        <f>INDEX(paste_RI!$B$2:$K$57,MATCH(MAX($A299,$B299+14),paste_RI!$A$2:$A$57,0),$B299)</f>
        <v>1.6218E-2</v>
      </c>
      <c r="D299" s="11">
        <f>INDEX(paste_TI!$B$2:$G$57,MATCH(MAX($A299,MIN($B299,6)+14),paste_TI!$A$2:$A$57,0),MIN($B299,6))</f>
        <v>6.1079999999999997E-3</v>
      </c>
    </row>
    <row r="300" spans="1:4" ht="15" customHeight="1" x14ac:dyDescent="0.45">
      <c r="A300" s="8">
        <v>44</v>
      </c>
      <c r="B300" s="8">
        <v>9</v>
      </c>
      <c r="C300" s="11">
        <f>INDEX(paste_RI!$B$2:$K$57,MATCH(MAX($A300,$B300+14),paste_RI!$A$2:$A$57,0),$B300)</f>
        <v>1.3002E-2</v>
      </c>
      <c r="D300" s="11">
        <f>INDEX(paste_TI!$B$2:$G$57,MATCH(MAX($A300,MIN($B300,6)+14),paste_TI!$A$2:$A$57,0),MIN($B300,6))</f>
        <v>6.1079999999999997E-3</v>
      </c>
    </row>
    <row r="301" spans="1:4" ht="15" customHeight="1" x14ac:dyDescent="0.45">
      <c r="A301" s="8">
        <v>44</v>
      </c>
      <c r="B301" s="8">
        <v>10</v>
      </c>
      <c r="C301" s="11">
        <f>INDEX(paste_RI!$B$2:$K$57,MATCH(MAX($A301,$B301+14),paste_RI!$A$2:$A$57,0),$B301)</f>
        <v>6.9829999999999996E-3</v>
      </c>
      <c r="D301" s="11">
        <f>INDEX(paste_TI!$B$2:$G$57,MATCH(MAX($A301,MIN($B301,6)+14),paste_TI!$A$2:$A$57,0),MIN($B301,6))</f>
        <v>6.1079999999999997E-3</v>
      </c>
    </row>
    <row r="302" spans="1:4" ht="15" customHeight="1" x14ac:dyDescent="0.45">
      <c r="A302" s="8">
        <v>45</v>
      </c>
      <c r="B302" s="8">
        <v>1</v>
      </c>
      <c r="C302" s="11">
        <f>INDEX(paste_RI!$B$2:$K$57,MATCH(MAX($A302,$B302+14),paste_RI!$A$2:$A$57,0),$B302)</f>
        <v>0.111612</v>
      </c>
      <c r="D302" s="11">
        <f>INDEX(paste_TI!$B$2:$G$57,MATCH(MAX($A302,MIN($B302,6)+14),paste_TI!$A$2:$A$57,0),MIN($B302,6))</f>
        <v>2.3372E-2</v>
      </c>
    </row>
    <row r="303" spans="1:4" ht="15" customHeight="1" x14ac:dyDescent="0.45">
      <c r="A303" s="8">
        <v>45</v>
      </c>
      <c r="B303" s="8">
        <v>2</v>
      </c>
      <c r="C303" s="11">
        <f>INDEX(paste_RI!$B$2:$K$57,MATCH(MAX($A303,$B303+14),paste_RI!$A$2:$A$57,0),$B303)</f>
        <v>0.10646600000000001</v>
      </c>
      <c r="D303" s="11">
        <f>INDEX(paste_TI!$B$2:$G$57,MATCH(MAX($A303,MIN($B303,6)+14),paste_TI!$A$2:$A$57,0),MIN($B303,6))</f>
        <v>2.8742E-2</v>
      </c>
    </row>
    <row r="304" spans="1:4" ht="15" customHeight="1" x14ac:dyDescent="0.45">
      <c r="A304" s="8">
        <v>45</v>
      </c>
      <c r="B304" s="8">
        <v>3</v>
      </c>
      <c r="C304" s="11">
        <f>INDEX(paste_RI!$B$2:$K$57,MATCH(MAX($A304,$B304+14),paste_RI!$A$2:$A$57,0),$B304)</f>
        <v>5.3650999999999997E-2</v>
      </c>
      <c r="D304" s="11">
        <f>INDEX(paste_TI!$B$2:$G$57,MATCH(MAX($A304,MIN($B304,6)+14),paste_TI!$A$2:$A$57,0),MIN($B304,6))</f>
        <v>1.8409999999999999E-2</v>
      </c>
    </row>
    <row r="305" spans="1:4" ht="15" customHeight="1" x14ac:dyDescent="0.45">
      <c r="A305" s="8">
        <v>45</v>
      </c>
      <c r="B305" s="8">
        <v>4</v>
      </c>
      <c r="C305" s="11">
        <f>INDEX(paste_RI!$B$2:$K$57,MATCH(MAX($A305,$B305+14),paste_RI!$A$2:$A$57,0),$B305)</f>
        <v>3.8781000000000003E-2</v>
      </c>
      <c r="D305" s="11">
        <f>INDEX(paste_TI!$B$2:$G$57,MATCH(MAX($A305,MIN($B305,6)+14),paste_TI!$A$2:$A$57,0),MIN($B305,6))</f>
        <v>1.2382000000000001E-2</v>
      </c>
    </row>
    <row r="306" spans="1:4" ht="15" customHeight="1" x14ac:dyDescent="0.45">
      <c r="A306" s="8">
        <v>45</v>
      </c>
      <c r="B306" s="8">
        <v>5</v>
      </c>
      <c r="C306" s="11">
        <f>INDEX(paste_RI!$B$2:$K$57,MATCH(MAX($A306,$B306+14),paste_RI!$A$2:$A$57,0),$B306)</f>
        <v>3.1718000000000003E-2</v>
      </c>
      <c r="D306" s="11">
        <f>INDEX(paste_TI!$B$2:$G$57,MATCH(MAX($A306,MIN($B306,6)+14),paste_TI!$A$2:$A$57,0),MIN($B306,6))</f>
        <v>9.1020000000000007E-3</v>
      </c>
    </row>
    <row r="307" spans="1:4" ht="15" customHeight="1" x14ac:dyDescent="0.45">
      <c r="A307" s="8">
        <v>45</v>
      </c>
      <c r="B307" s="8">
        <v>6</v>
      </c>
      <c r="C307" s="11">
        <f>INDEX(paste_RI!$B$2:$K$57,MATCH(MAX($A307,$B307+14),paste_RI!$A$2:$A$57,0),$B307)</f>
        <v>2.2780999999999999E-2</v>
      </c>
      <c r="D307" s="11">
        <f>INDEX(paste_TI!$B$2:$G$57,MATCH(MAX($A307,MIN($B307,6)+14),paste_TI!$A$2:$A$57,0),MIN($B307,6))</f>
        <v>6.4640000000000001E-3</v>
      </c>
    </row>
    <row r="308" spans="1:4" ht="15" customHeight="1" x14ac:dyDescent="0.45">
      <c r="A308" s="8">
        <v>45</v>
      </c>
      <c r="B308" s="8">
        <v>7</v>
      </c>
      <c r="C308" s="11">
        <f>INDEX(paste_RI!$B$2:$K$57,MATCH(MAX($A308,$B308+14),paste_RI!$A$2:$A$57,0),$B308)</f>
        <v>1.7194000000000001E-2</v>
      </c>
      <c r="D308" s="11">
        <f>INDEX(paste_TI!$B$2:$G$57,MATCH(MAX($A308,MIN($B308,6)+14),paste_TI!$A$2:$A$57,0),MIN($B308,6))</f>
        <v>6.4640000000000001E-3</v>
      </c>
    </row>
    <row r="309" spans="1:4" ht="15" customHeight="1" x14ac:dyDescent="0.45">
      <c r="A309" s="8">
        <v>45</v>
      </c>
      <c r="B309" s="8">
        <v>8</v>
      </c>
      <c r="C309" s="11">
        <f>INDEX(paste_RI!$B$2:$K$57,MATCH(MAX($A309,$B309+14),paste_RI!$A$2:$A$57,0),$B309)</f>
        <v>1.4470999999999999E-2</v>
      </c>
      <c r="D309" s="11">
        <f>INDEX(paste_TI!$B$2:$G$57,MATCH(MAX($A309,MIN($B309,6)+14),paste_TI!$A$2:$A$57,0),MIN($B309,6))</f>
        <v>6.4640000000000001E-3</v>
      </c>
    </row>
    <row r="310" spans="1:4" ht="15" customHeight="1" x14ac:dyDescent="0.45">
      <c r="A310" s="8">
        <v>45</v>
      </c>
      <c r="B310" s="8">
        <v>9</v>
      </c>
      <c r="C310" s="11">
        <f>INDEX(paste_RI!$B$2:$K$57,MATCH(MAX($A310,$B310+14),paste_RI!$A$2:$A$57,0),$B310)</f>
        <v>1.2034E-2</v>
      </c>
      <c r="D310" s="11">
        <f>INDEX(paste_TI!$B$2:$G$57,MATCH(MAX($A310,MIN($B310,6)+14),paste_TI!$A$2:$A$57,0),MIN($B310,6))</f>
        <v>6.4640000000000001E-3</v>
      </c>
    </row>
    <row r="311" spans="1:4" ht="15" customHeight="1" x14ac:dyDescent="0.45">
      <c r="A311" s="8">
        <v>45</v>
      </c>
      <c r="B311" s="8">
        <v>10</v>
      </c>
      <c r="C311" s="11">
        <f>INDEX(paste_RI!$B$2:$K$57,MATCH(MAX($A311,$B311+14),paste_RI!$A$2:$A$57,0),$B311)</f>
        <v>6.4640000000000001E-3</v>
      </c>
      <c r="D311" s="11">
        <f>INDEX(paste_TI!$B$2:$G$57,MATCH(MAX($A311,MIN($B311,6)+14),paste_TI!$A$2:$A$57,0),MIN($B311,6))</f>
        <v>6.4640000000000001E-3</v>
      </c>
    </row>
    <row r="312" spans="1:4" ht="15" customHeight="1" x14ac:dyDescent="0.45">
      <c r="A312" s="8">
        <v>46</v>
      </c>
      <c r="B312" s="8">
        <v>1</v>
      </c>
      <c r="C312" s="11">
        <f>INDEX(paste_RI!$B$2:$K$57,MATCH(MAX($A312,$B312+14),paste_RI!$A$2:$A$57,0),$B312)</f>
        <v>0.106348</v>
      </c>
      <c r="D312" s="11">
        <f>INDEX(paste_TI!$B$2:$G$57,MATCH(MAX($A312,MIN($B312,6)+14),paste_TI!$A$2:$A$57,0),MIN($B312,6))</f>
        <v>2.4767000000000001E-2</v>
      </c>
    </row>
    <row r="313" spans="1:4" ht="15" customHeight="1" x14ac:dyDescent="0.45">
      <c r="A313" s="8">
        <v>46</v>
      </c>
      <c r="B313" s="8">
        <v>2</v>
      </c>
      <c r="C313" s="11">
        <f>INDEX(paste_RI!$B$2:$K$57,MATCH(MAX($A313,$B313+14),paste_RI!$A$2:$A$57,0),$B313)</f>
        <v>0.100979</v>
      </c>
      <c r="D313" s="11">
        <f>INDEX(paste_TI!$B$2:$G$57,MATCH(MAX($A313,MIN($B313,6)+14),paste_TI!$A$2:$A$57,0),MIN($B313,6))</f>
        <v>3.0009000000000001E-2</v>
      </c>
    </row>
    <row r="314" spans="1:4" ht="15" customHeight="1" x14ac:dyDescent="0.45">
      <c r="A314" s="8">
        <v>46</v>
      </c>
      <c r="B314" s="8">
        <v>3</v>
      </c>
      <c r="C314" s="11">
        <f>INDEX(paste_RI!$B$2:$K$57,MATCH(MAX($A314,$B314+14),paste_RI!$A$2:$A$57,0),$B314)</f>
        <v>4.8758000000000003E-2</v>
      </c>
      <c r="D314" s="11">
        <f>INDEX(paste_TI!$B$2:$G$57,MATCH(MAX($A314,MIN($B314,6)+14),paste_TI!$A$2:$A$57,0),MIN($B314,6))</f>
        <v>1.9303000000000001E-2</v>
      </c>
    </row>
    <row r="315" spans="1:4" ht="15" customHeight="1" x14ac:dyDescent="0.45">
      <c r="A315" s="8">
        <v>46</v>
      </c>
      <c r="B315" s="8">
        <v>4</v>
      </c>
      <c r="C315" s="11">
        <f>INDEX(paste_RI!$B$2:$K$57,MATCH(MAX($A315,$B315+14),paste_RI!$A$2:$A$57,0),$B315)</f>
        <v>3.4257999999999997E-2</v>
      </c>
      <c r="D315" s="11">
        <f>INDEX(paste_TI!$B$2:$G$57,MATCH(MAX($A315,MIN($B315,6)+14),paste_TI!$A$2:$A$57,0),MIN($B315,6))</f>
        <v>1.3132E-2</v>
      </c>
    </row>
    <row r="316" spans="1:4" ht="15" customHeight="1" x14ac:dyDescent="0.45">
      <c r="A316" s="8">
        <v>46</v>
      </c>
      <c r="B316" s="8">
        <v>5</v>
      </c>
      <c r="C316" s="11">
        <f>INDEX(paste_RI!$B$2:$K$57,MATCH(MAX($A316,$B316+14),paste_RI!$A$2:$A$57,0),$B316)</f>
        <v>2.7598999999999999E-2</v>
      </c>
      <c r="D316" s="11">
        <f>INDEX(paste_TI!$B$2:$G$57,MATCH(MAX($A316,MIN($B316,6)+14),paste_TI!$A$2:$A$57,0),MIN($B316,6))</f>
        <v>9.6030000000000004E-3</v>
      </c>
    </row>
    <row r="317" spans="1:4" ht="15" customHeight="1" x14ac:dyDescent="0.45">
      <c r="A317" s="8">
        <v>46</v>
      </c>
      <c r="B317" s="8">
        <v>6</v>
      </c>
      <c r="C317" s="11">
        <f>INDEX(paste_RI!$B$2:$K$57,MATCH(MAX($A317,$B317+14),paste_RI!$A$2:$A$57,0),$B317)</f>
        <v>1.9997999999999998E-2</v>
      </c>
      <c r="D317" s="11">
        <f>INDEX(paste_TI!$B$2:$G$57,MATCH(MAX($A317,MIN($B317,6)+14),paste_TI!$A$2:$A$57,0),MIN($B317,6))</f>
        <v>6.8799999999999998E-3</v>
      </c>
    </row>
    <row r="318" spans="1:4" ht="15" customHeight="1" x14ac:dyDescent="0.45">
      <c r="A318" s="8">
        <v>46</v>
      </c>
      <c r="B318" s="8">
        <v>7</v>
      </c>
      <c r="C318" s="11">
        <f>INDEX(paste_RI!$B$2:$K$57,MATCH(MAX($A318,$B318+14),paste_RI!$A$2:$A$57,0),$B318)</f>
        <v>1.558E-2</v>
      </c>
      <c r="D318" s="11">
        <f>INDEX(paste_TI!$B$2:$G$57,MATCH(MAX($A318,MIN($B318,6)+14),paste_TI!$A$2:$A$57,0),MIN($B318,6))</f>
        <v>6.8799999999999998E-3</v>
      </c>
    </row>
    <row r="319" spans="1:4" ht="15" customHeight="1" x14ac:dyDescent="0.45">
      <c r="A319" s="8">
        <v>46</v>
      </c>
      <c r="B319" s="8">
        <v>8</v>
      </c>
      <c r="C319" s="11">
        <f>INDEX(paste_RI!$B$2:$K$57,MATCH(MAX($A319,$B319+14),paste_RI!$A$2:$A$57,0),$B319)</f>
        <v>1.2845000000000001E-2</v>
      </c>
      <c r="D319" s="11">
        <f>INDEX(paste_TI!$B$2:$G$57,MATCH(MAX($A319,MIN($B319,6)+14),paste_TI!$A$2:$A$57,0),MIN($B319,6))</f>
        <v>6.8799999999999998E-3</v>
      </c>
    </row>
    <row r="320" spans="1:4" ht="15" customHeight="1" x14ac:dyDescent="0.45">
      <c r="A320" s="8">
        <v>46</v>
      </c>
      <c r="B320" s="8">
        <v>9</v>
      </c>
      <c r="C320" s="11">
        <f>INDEX(paste_RI!$B$2:$K$57,MATCH(MAX($A320,$B320+14),paste_RI!$A$2:$A$57,0),$B320)</f>
        <v>1.1027E-2</v>
      </c>
      <c r="D320" s="11">
        <f>INDEX(paste_TI!$B$2:$G$57,MATCH(MAX($A320,MIN($B320,6)+14),paste_TI!$A$2:$A$57,0),MIN($B320,6))</f>
        <v>6.8799999999999998E-3</v>
      </c>
    </row>
    <row r="321" spans="1:4" ht="15" customHeight="1" x14ac:dyDescent="0.45">
      <c r="A321" s="8">
        <v>46</v>
      </c>
      <c r="B321" s="8">
        <v>10</v>
      </c>
      <c r="C321" s="11">
        <f>INDEX(paste_RI!$B$2:$K$57,MATCH(MAX($A321,$B321+14),paste_RI!$A$2:$A$57,0),$B321)</f>
        <v>6.0390000000000001E-3</v>
      </c>
      <c r="D321" s="11">
        <f>INDEX(paste_TI!$B$2:$G$57,MATCH(MAX($A321,MIN($B321,6)+14),paste_TI!$A$2:$A$57,0),MIN($B321,6))</f>
        <v>6.8799999999999998E-3</v>
      </c>
    </row>
    <row r="322" spans="1:4" ht="15" customHeight="1" x14ac:dyDescent="0.45">
      <c r="A322" s="8">
        <v>47</v>
      </c>
      <c r="B322" s="8">
        <v>1</v>
      </c>
      <c r="C322" s="11">
        <f>INDEX(paste_RI!$B$2:$K$57,MATCH(MAX($A322,$B322+14),paste_RI!$A$2:$A$57,0),$B322)</f>
        <v>0.10057199999999999</v>
      </c>
      <c r="D322" s="11">
        <f>INDEX(paste_TI!$B$2:$G$57,MATCH(MAX($A322,MIN($B322,6)+14),paste_TI!$A$2:$A$57,0),MIN($B322,6))</f>
        <v>2.6166999999999999E-2</v>
      </c>
    </row>
    <row r="323" spans="1:4" ht="15" customHeight="1" x14ac:dyDescent="0.45">
      <c r="A323" s="8">
        <v>47</v>
      </c>
      <c r="B323" s="8">
        <v>2</v>
      </c>
      <c r="C323" s="11">
        <f>INDEX(paste_RI!$B$2:$K$57,MATCH(MAX($A323,$B323+14),paste_RI!$A$2:$A$57,0),$B323)</f>
        <v>9.5214999999999994E-2</v>
      </c>
      <c r="D323" s="11">
        <f>INDEX(paste_TI!$B$2:$G$57,MATCH(MAX($A323,MIN($B323,6)+14),paste_TI!$A$2:$A$57,0),MIN($B323,6))</f>
        <v>3.1262999999999999E-2</v>
      </c>
    </row>
    <row r="324" spans="1:4" ht="15" customHeight="1" x14ac:dyDescent="0.45">
      <c r="A324" s="8">
        <v>47</v>
      </c>
      <c r="B324" s="8">
        <v>3</v>
      </c>
      <c r="C324" s="11">
        <f>INDEX(paste_RI!$B$2:$K$57,MATCH(MAX($A324,$B324+14),paste_RI!$A$2:$A$57,0),$B324)</f>
        <v>4.4094000000000001E-2</v>
      </c>
      <c r="D324" s="11">
        <f>INDEX(paste_TI!$B$2:$G$57,MATCH(MAX($A324,MIN($B324,6)+14),paste_TI!$A$2:$A$57,0),MIN($B324,6))</f>
        <v>2.0215E-2</v>
      </c>
    </row>
    <row r="325" spans="1:4" ht="15" customHeight="1" x14ac:dyDescent="0.45">
      <c r="A325" s="8">
        <v>47</v>
      </c>
      <c r="B325" s="8">
        <v>4</v>
      </c>
      <c r="C325" s="11">
        <f>INDEX(paste_RI!$B$2:$K$57,MATCH(MAX($A325,$B325+14),paste_RI!$A$2:$A$57,0),$B325)</f>
        <v>3.0317E-2</v>
      </c>
      <c r="D325" s="11">
        <f>INDEX(paste_TI!$B$2:$G$57,MATCH(MAX($A325,MIN($B325,6)+14),paste_TI!$A$2:$A$57,0),MIN($B325,6))</f>
        <v>1.3897E-2</v>
      </c>
    </row>
    <row r="326" spans="1:4" ht="15" customHeight="1" x14ac:dyDescent="0.45">
      <c r="A326" s="8">
        <v>47</v>
      </c>
      <c r="B326" s="8">
        <v>5</v>
      </c>
      <c r="C326" s="11">
        <f>INDEX(paste_RI!$B$2:$K$57,MATCH(MAX($A326,$B326+14),paste_RI!$A$2:$A$57,0),$B326)</f>
        <v>2.3777E-2</v>
      </c>
      <c r="D326" s="11">
        <f>INDEX(paste_TI!$B$2:$G$57,MATCH(MAX($A326,MIN($B326,6)+14),paste_TI!$A$2:$A$57,0),MIN($B326,6))</f>
        <v>1.0121E-2</v>
      </c>
    </row>
    <row r="327" spans="1:4" ht="15" customHeight="1" x14ac:dyDescent="0.45">
      <c r="A327" s="8">
        <v>47</v>
      </c>
      <c r="B327" s="8">
        <v>6</v>
      </c>
      <c r="C327" s="11">
        <f>INDEX(paste_RI!$B$2:$K$57,MATCH(MAX($A327,$B327+14),paste_RI!$A$2:$A$57,0),$B327)</f>
        <v>1.7299999999999999E-2</v>
      </c>
      <c r="D327" s="11">
        <f>INDEX(paste_TI!$B$2:$G$57,MATCH(MAX($A327,MIN($B327,6)+14),paste_TI!$A$2:$A$57,0),MIN($B327,6))</f>
        <v>7.3559999999999997E-3</v>
      </c>
    </row>
    <row r="328" spans="1:4" ht="15" customHeight="1" x14ac:dyDescent="0.45">
      <c r="A328" s="8">
        <v>47</v>
      </c>
      <c r="B328" s="8">
        <v>7</v>
      </c>
      <c r="C328" s="11">
        <f>INDEX(paste_RI!$B$2:$K$57,MATCH(MAX($A328,$B328+14),paste_RI!$A$2:$A$57,0),$B328)</f>
        <v>1.4024999999999999E-2</v>
      </c>
      <c r="D328" s="11">
        <f>INDEX(paste_TI!$B$2:$G$57,MATCH(MAX($A328,MIN($B328,6)+14),paste_TI!$A$2:$A$57,0),MIN($B328,6))</f>
        <v>7.3559999999999997E-3</v>
      </c>
    </row>
    <row r="329" spans="1:4" ht="15" customHeight="1" x14ac:dyDescent="0.45">
      <c r="A329" s="8">
        <v>47</v>
      </c>
      <c r="B329" s="8">
        <v>8</v>
      </c>
      <c r="C329" s="11">
        <f>INDEX(paste_RI!$B$2:$K$57,MATCH(MAX($A329,$B329+14),paste_RI!$A$2:$A$57,0),$B329)</f>
        <v>1.1296E-2</v>
      </c>
      <c r="D329" s="11">
        <f>INDEX(paste_TI!$B$2:$G$57,MATCH(MAX($A329,MIN($B329,6)+14),paste_TI!$A$2:$A$57,0),MIN($B329,6))</f>
        <v>7.3559999999999997E-3</v>
      </c>
    </row>
    <row r="330" spans="1:4" ht="15" customHeight="1" x14ac:dyDescent="0.45">
      <c r="A330" s="8">
        <v>47</v>
      </c>
      <c r="B330" s="8">
        <v>9</v>
      </c>
      <c r="C330" s="11">
        <f>INDEX(paste_RI!$B$2:$K$57,MATCH(MAX($A330,$B330+14),paste_RI!$A$2:$A$57,0),$B330)</f>
        <v>9.9240000000000005E-3</v>
      </c>
      <c r="D330" s="11">
        <f>INDEX(paste_TI!$B$2:$G$57,MATCH(MAX($A330,MIN($B330,6)+14),paste_TI!$A$2:$A$57,0),MIN($B330,6))</f>
        <v>7.3559999999999997E-3</v>
      </c>
    </row>
    <row r="331" spans="1:4" ht="15" customHeight="1" x14ac:dyDescent="0.45">
      <c r="A331" s="8">
        <v>47</v>
      </c>
      <c r="B331" s="8">
        <v>10</v>
      </c>
      <c r="C331" s="11">
        <f>INDEX(paste_RI!$B$2:$K$57,MATCH(MAX($A331,$B331+14),paste_RI!$A$2:$A$57,0),$B331)</f>
        <v>5.6499999999999996E-3</v>
      </c>
      <c r="D331" s="11">
        <f>INDEX(paste_TI!$B$2:$G$57,MATCH(MAX($A331,MIN($B331,6)+14),paste_TI!$A$2:$A$57,0),MIN($B331,6))</f>
        <v>7.3559999999999997E-3</v>
      </c>
    </row>
    <row r="332" spans="1:4" ht="15" customHeight="1" x14ac:dyDescent="0.45">
      <c r="A332" s="8">
        <v>48</v>
      </c>
      <c r="B332" s="8">
        <v>1</v>
      </c>
      <c r="C332" s="11">
        <f>INDEX(paste_RI!$B$2:$K$57,MATCH(MAX($A332,$B332+14),paste_RI!$A$2:$A$57,0),$B332)</f>
        <v>9.4576999999999994E-2</v>
      </c>
      <c r="D332" s="11">
        <f>INDEX(paste_TI!$B$2:$G$57,MATCH(MAX($A332,MIN($B332,6)+14),paste_TI!$A$2:$A$57,0),MIN($B332,6))</f>
        <v>2.7567999999999999E-2</v>
      </c>
    </row>
    <row r="333" spans="1:4" ht="15" customHeight="1" x14ac:dyDescent="0.45">
      <c r="A333" s="8">
        <v>48</v>
      </c>
      <c r="B333" s="8">
        <v>2</v>
      </c>
      <c r="C333" s="11">
        <f>INDEX(paste_RI!$B$2:$K$57,MATCH(MAX($A333,$B333+14),paste_RI!$A$2:$A$57,0),$B333)</f>
        <v>8.9326000000000003E-2</v>
      </c>
      <c r="D333" s="11">
        <f>INDEX(paste_TI!$B$2:$G$57,MATCH(MAX($A333,MIN($B333,6)+14),paste_TI!$A$2:$A$57,0),MIN($B333,6))</f>
        <v>3.2495999999999997E-2</v>
      </c>
    </row>
    <row r="334" spans="1:4" ht="15" customHeight="1" x14ac:dyDescent="0.45">
      <c r="A334" s="8">
        <v>48</v>
      </c>
      <c r="B334" s="8">
        <v>3</v>
      </c>
      <c r="C334" s="11">
        <f>INDEX(paste_RI!$B$2:$K$57,MATCH(MAX($A334,$B334+14),paste_RI!$A$2:$A$57,0),$B334)</f>
        <v>3.9743000000000001E-2</v>
      </c>
      <c r="D334" s="11">
        <f>INDEX(paste_TI!$B$2:$G$57,MATCH(MAX($A334,MIN($B334,6)+14),paste_TI!$A$2:$A$57,0),MIN($B334,6))</f>
        <v>2.1138000000000001E-2</v>
      </c>
    </row>
    <row r="335" spans="1:4" ht="15" customHeight="1" x14ac:dyDescent="0.45">
      <c r="A335" s="8">
        <v>48</v>
      </c>
      <c r="B335" s="8">
        <v>4</v>
      </c>
      <c r="C335" s="11">
        <f>INDEX(paste_RI!$B$2:$K$57,MATCH(MAX($A335,$B335+14),paste_RI!$A$2:$A$57,0),$B335)</f>
        <v>2.6752999999999999E-2</v>
      </c>
      <c r="D335" s="11">
        <f>INDEX(paste_TI!$B$2:$G$57,MATCH(MAX($A335,MIN($B335,6)+14),paste_TI!$A$2:$A$57,0),MIN($B335,6))</f>
        <v>1.4673E-2</v>
      </c>
    </row>
    <row r="336" spans="1:4" ht="15" customHeight="1" x14ac:dyDescent="0.45">
      <c r="A336" s="8">
        <v>48</v>
      </c>
      <c r="B336" s="8">
        <v>5</v>
      </c>
      <c r="C336" s="11">
        <f>INDEX(paste_RI!$B$2:$K$57,MATCH(MAX($A336,$B336+14),paste_RI!$A$2:$A$57,0),$B336)</f>
        <v>2.0322E-2</v>
      </c>
      <c r="D336" s="11">
        <f>INDEX(paste_TI!$B$2:$G$57,MATCH(MAX($A336,MIN($B336,6)+14),paste_TI!$A$2:$A$57,0),MIN($B336,6))</f>
        <v>1.0655E-2</v>
      </c>
    </row>
    <row r="337" spans="1:4" ht="15" customHeight="1" x14ac:dyDescent="0.45">
      <c r="A337" s="8">
        <v>48</v>
      </c>
      <c r="B337" s="8">
        <v>6</v>
      </c>
      <c r="C337" s="11">
        <f>INDEX(paste_RI!$B$2:$K$57,MATCH(MAX($A337,$B337+14),paste_RI!$A$2:$A$57,0),$B337)</f>
        <v>1.4801999999999999E-2</v>
      </c>
      <c r="D337" s="11">
        <f>INDEX(paste_TI!$B$2:$G$57,MATCH(MAX($A337,MIN($B337,6)+14),paste_TI!$A$2:$A$57,0),MIN($B337,6))</f>
        <v>7.8840000000000004E-3</v>
      </c>
    </row>
    <row r="338" spans="1:4" ht="15" customHeight="1" x14ac:dyDescent="0.45">
      <c r="A338" s="8">
        <v>48</v>
      </c>
      <c r="B338" s="8">
        <v>7</v>
      </c>
      <c r="C338" s="11">
        <f>INDEX(paste_RI!$B$2:$K$57,MATCH(MAX($A338,$B338+14),paste_RI!$A$2:$A$57,0),$B338)</f>
        <v>1.2501E-2</v>
      </c>
      <c r="D338" s="11">
        <f>INDEX(paste_TI!$B$2:$G$57,MATCH(MAX($A338,MIN($B338,6)+14),paste_TI!$A$2:$A$57,0),MIN($B338,6))</f>
        <v>7.8840000000000004E-3</v>
      </c>
    </row>
    <row r="339" spans="1:4" ht="15" customHeight="1" x14ac:dyDescent="0.45">
      <c r="A339" s="8">
        <v>48</v>
      </c>
      <c r="B339" s="8">
        <v>8</v>
      </c>
      <c r="C339" s="11">
        <f>INDEX(paste_RI!$B$2:$K$57,MATCH(MAX($A339,$B339+14),paste_RI!$A$2:$A$57,0),$B339)</f>
        <v>9.8849999999999997E-3</v>
      </c>
      <c r="D339" s="11">
        <f>INDEX(paste_TI!$B$2:$G$57,MATCH(MAX($A339,MIN($B339,6)+14),paste_TI!$A$2:$A$57,0),MIN($B339,6))</f>
        <v>7.8840000000000004E-3</v>
      </c>
    </row>
    <row r="340" spans="1:4" ht="15" customHeight="1" x14ac:dyDescent="0.45">
      <c r="A340" s="8">
        <v>48</v>
      </c>
      <c r="B340" s="8">
        <v>9</v>
      </c>
      <c r="C340" s="11">
        <f>INDEX(paste_RI!$B$2:$K$57,MATCH(MAX($A340,$B340+14),paste_RI!$A$2:$A$57,0),$B340)</f>
        <v>8.7760000000000008E-3</v>
      </c>
      <c r="D340" s="11">
        <f>INDEX(paste_TI!$B$2:$G$57,MATCH(MAX($A340,MIN($B340,6)+14),paste_TI!$A$2:$A$57,0),MIN($B340,6))</f>
        <v>7.8840000000000004E-3</v>
      </c>
    </row>
    <row r="341" spans="1:4" ht="15" customHeight="1" x14ac:dyDescent="0.45">
      <c r="A341" s="8">
        <v>48</v>
      </c>
      <c r="B341" s="8">
        <v>10</v>
      </c>
      <c r="C341" s="11">
        <f>INDEX(paste_RI!$B$2:$K$57,MATCH(MAX($A341,$B341+14),paste_RI!$A$2:$A$57,0),$B341)</f>
        <v>5.2339999999999999E-3</v>
      </c>
      <c r="D341" s="11">
        <f>INDEX(paste_TI!$B$2:$G$57,MATCH(MAX($A341,MIN($B341,6)+14),paste_TI!$A$2:$A$57,0),MIN($B341,6))</f>
        <v>7.8840000000000004E-3</v>
      </c>
    </row>
    <row r="342" spans="1:4" ht="15" customHeight="1" x14ac:dyDescent="0.45">
      <c r="A342" s="8">
        <v>49</v>
      </c>
      <c r="B342" s="8">
        <v>1</v>
      </c>
      <c r="C342" s="11">
        <f>INDEX(paste_RI!$B$2:$K$57,MATCH(MAX($A342,$B342+14),paste_RI!$A$2:$A$57,0),$B342)</f>
        <v>8.8478000000000001E-2</v>
      </c>
      <c r="D342" s="11">
        <f>INDEX(paste_TI!$B$2:$G$57,MATCH(MAX($A342,MIN($B342,6)+14),paste_TI!$A$2:$A$57,0),MIN($B342,6))</f>
        <v>2.8965999999999999E-2</v>
      </c>
    </row>
    <row r="343" spans="1:4" ht="15" customHeight="1" x14ac:dyDescent="0.45">
      <c r="A343" s="8">
        <v>49</v>
      </c>
      <c r="B343" s="8">
        <v>2</v>
      </c>
      <c r="C343" s="11">
        <f>INDEX(paste_RI!$B$2:$K$57,MATCH(MAX($A343,$B343+14),paste_RI!$A$2:$A$57,0),$B343)</f>
        <v>8.2901000000000002E-2</v>
      </c>
      <c r="D343" s="11">
        <f>INDEX(paste_TI!$B$2:$G$57,MATCH(MAX($A343,MIN($B343,6)+14),paste_TI!$A$2:$A$57,0),MIN($B343,6))</f>
        <v>3.3701000000000002E-2</v>
      </c>
    </row>
    <row r="344" spans="1:4" ht="15" customHeight="1" x14ac:dyDescent="0.45">
      <c r="A344" s="8">
        <v>49</v>
      </c>
      <c r="B344" s="8">
        <v>3</v>
      </c>
      <c r="C344" s="11">
        <f>INDEX(paste_RI!$B$2:$K$57,MATCH(MAX($A344,$B344+14),paste_RI!$A$2:$A$57,0),$B344)</f>
        <v>3.5837000000000001E-2</v>
      </c>
      <c r="D344" s="11">
        <f>INDEX(paste_TI!$B$2:$G$57,MATCH(MAX($A344,MIN($B344,6)+14),paste_TI!$A$2:$A$57,0),MIN($B344,6))</f>
        <v>2.2071E-2</v>
      </c>
    </row>
    <row r="345" spans="1:4" ht="15" customHeight="1" x14ac:dyDescent="0.45">
      <c r="A345" s="8">
        <v>49</v>
      </c>
      <c r="B345" s="8">
        <v>4</v>
      </c>
      <c r="C345" s="11">
        <f>INDEX(paste_RI!$B$2:$K$57,MATCH(MAX($A345,$B345+14),paste_RI!$A$2:$A$57,0),$B345)</f>
        <v>2.3446000000000002E-2</v>
      </c>
      <c r="D345" s="11">
        <f>INDEX(paste_TI!$B$2:$G$57,MATCH(MAX($A345,MIN($B345,6)+14),paste_TI!$A$2:$A$57,0),MIN($B345,6))</f>
        <v>1.5458E-2</v>
      </c>
    </row>
    <row r="346" spans="1:4" ht="15" customHeight="1" x14ac:dyDescent="0.45">
      <c r="A346" s="8">
        <v>49</v>
      </c>
      <c r="B346" s="8">
        <v>5</v>
      </c>
      <c r="C346" s="11">
        <f>INDEX(paste_RI!$B$2:$K$57,MATCH(MAX($A346,$B346+14),paste_RI!$A$2:$A$57,0),$B346)</f>
        <v>1.7235E-2</v>
      </c>
      <c r="D346" s="11">
        <f>INDEX(paste_TI!$B$2:$G$57,MATCH(MAX($A346,MIN($B346,6)+14),paste_TI!$A$2:$A$57,0),MIN($B346,6))</f>
        <v>1.1205E-2</v>
      </c>
    </row>
    <row r="347" spans="1:4" ht="15" customHeight="1" x14ac:dyDescent="0.45">
      <c r="A347" s="8">
        <v>49</v>
      </c>
      <c r="B347" s="8">
        <v>6</v>
      </c>
      <c r="C347" s="11">
        <f>INDEX(paste_RI!$B$2:$K$57,MATCH(MAX($A347,$B347+14),paste_RI!$A$2:$A$57,0),$B347)</f>
        <v>1.252E-2</v>
      </c>
      <c r="D347" s="11">
        <f>INDEX(paste_TI!$B$2:$G$57,MATCH(MAX($A347,MIN($B347,6)+14),paste_TI!$A$2:$A$57,0),MIN($B347,6))</f>
        <v>8.4550000000000007E-3</v>
      </c>
    </row>
    <row r="348" spans="1:4" ht="15" customHeight="1" x14ac:dyDescent="0.45">
      <c r="A348" s="8">
        <v>49</v>
      </c>
      <c r="B348" s="8">
        <v>7</v>
      </c>
      <c r="C348" s="11">
        <f>INDEX(paste_RI!$B$2:$K$57,MATCH(MAX($A348,$B348+14),paste_RI!$A$2:$A$57,0),$B348)</f>
        <v>1.1088000000000001E-2</v>
      </c>
      <c r="D348" s="11">
        <f>INDEX(paste_TI!$B$2:$G$57,MATCH(MAX($A348,MIN($B348,6)+14),paste_TI!$A$2:$A$57,0),MIN($B348,6))</f>
        <v>8.4550000000000007E-3</v>
      </c>
    </row>
    <row r="349" spans="1:4" ht="15" customHeight="1" x14ac:dyDescent="0.45">
      <c r="A349" s="8">
        <v>49</v>
      </c>
      <c r="B349" s="8">
        <v>8</v>
      </c>
      <c r="C349" s="11">
        <f>INDEX(paste_RI!$B$2:$K$57,MATCH(MAX($A349,$B349+14),paste_RI!$A$2:$A$57,0),$B349)</f>
        <v>8.5459999999999998E-3</v>
      </c>
      <c r="D349" s="11">
        <f>INDEX(paste_TI!$B$2:$G$57,MATCH(MAX($A349,MIN($B349,6)+14),paste_TI!$A$2:$A$57,0),MIN($B349,6))</f>
        <v>8.4550000000000007E-3</v>
      </c>
    </row>
    <row r="350" spans="1:4" ht="15" customHeight="1" x14ac:dyDescent="0.45">
      <c r="A350" s="8">
        <v>49</v>
      </c>
      <c r="B350" s="8">
        <v>9</v>
      </c>
      <c r="C350" s="11">
        <f>INDEX(paste_RI!$B$2:$K$57,MATCH(MAX($A350,$B350+14),paste_RI!$A$2:$A$57,0),$B350)</f>
        <v>7.6449999999999999E-3</v>
      </c>
      <c r="D350" s="11">
        <f>INDEX(paste_TI!$B$2:$G$57,MATCH(MAX($A350,MIN($B350,6)+14),paste_TI!$A$2:$A$57,0),MIN($B350,6))</f>
        <v>8.4550000000000007E-3</v>
      </c>
    </row>
    <row r="351" spans="1:4" ht="15" customHeight="1" x14ac:dyDescent="0.45">
      <c r="A351" s="8">
        <v>49</v>
      </c>
      <c r="B351" s="8">
        <v>10</v>
      </c>
      <c r="C351" s="11">
        <f>INDEX(paste_RI!$B$2:$K$57,MATCH(MAX($A351,$B351+14),paste_RI!$A$2:$A$57,0),$B351)</f>
        <v>4.8479999999999999E-3</v>
      </c>
      <c r="D351" s="11">
        <f>INDEX(paste_TI!$B$2:$G$57,MATCH(MAX($A351,MIN($B351,6)+14),paste_TI!$A$2:$A$57,0),MIN($B351,6))</f>
        <v>8.4550000000000007E-3</v>
      </c>
    </row>
    <row r="352" spans="1:4" ht="15" customHeight="1" x14ac:dyDescent="0.45">
      <c r="A352" s="8">
        <v>50</v>
      </c>
      <c r="B352" s="8">
        <v>1</v>
      </c>
      <c r="C352" s="11">
        <f>INDEX(paste_RI!$B$2:$K$57,MATCH(MAX($A352,$B352+14),paste_RI!$A$2:$A$57,0),$B352)</f>
        <v>8.2244999999999999E-2</v>
      </c>
      <c r="D352" s="11">
        <f>INDEX(paste_TI!$B$2:$G$57,MATCH(MAX($A352,MIN($B352,6)+14),paste_TI!$A$2:$A$57,0),MIN($B352,6))</f>
        <v>3.0352000000000001E-2</v>
      </c>
    </row>
    <row r="353" spans="1:4" ht="15" customHeight="1" x14ac:dyDescent="0.45">
      <c r="A353" s="8">
        <v>50</v>
      </c>
      <c r="B353" s="8">
        <v>2</v>
      </c>
      <c r="C353" s="11">
        <f>INDEX(paste_RI!$B$2:$K$57,MATCH(MAX($A353,$B353+14),paste_RI!$A$2:$A$57,0),$B353)</f>
        <v>7.6066999999999996E-2</v>
      </c>
      <c r="D353" s="11">
        <f>INDEX(paste_TI!$B$2:$G$57,MATCH(MAX($A353,MIN($B353,6)+14),paste_TI!$A$2:$A$57,0),MIN($B353,6))</f>
        <v>3.4875999999999997E-2</v>
      </c>
    </row>
    <row r="354" spans="1:4" ht="15" customHeight="1" x14ac:dyDescent="0.45">
      <c r="A354" s="8">
        <v>50</v>
      </c>
      <c r="B354" s="8">
        <v>3</v>
      </c>
      <c r="C354" s="11">
        <f>INDEX(paste_RI!$B$2:$K$57,MATCH(MAX($A354,$B354+14),paste_RI!$A$2:$A$57,0),$B354)</f>
        <v>3.2226999999999999E-2</v>
      </c>
      <c r="D354" s="11">
        <f>INDEX(paste_TI!$B$2:$G$57,MATCH(MAX($A354,MIN($B354,6)+14),paste_TI!$A$2:$A$57,0),MIN($B354,6))</f>
        <v>2.3012000000000001E-2</v>
      </c>
    </row>
    <row r="355" spans="1:4" ht="15" customHeight="1" x14ac:dyDescent="0.45">
      <c r="A355" s="8">
        <v>50</v>
      </c>
      <c r="B355" s="8">
        <v>4</v>
      </c>
      <c r="C355" s="11">
        <f>INDEX(paste_RI!$B$2:$K$57,MATCH(MAX($A355,$B355+14),paste_RI!$A$2:$A$57,0),$B355)</f>
        <v>2.0407000000000002E-2</v>
      </c>
      <c r="D355" s="11">
        <f>INDEX(paste_TI!$B$2:$G$57,MATCH(MAX($A355,MIN($B355,6)+14),paste_TI!$A$2:$A$57,0),MIN($B355,6))</f>
        <v>1.6254999999999999E-2</v>
      </c>
    </row>
    <row r="356" spans="1:4" ht="15" customHeight="1" x14ac:dyDescent="0.45">
      <c r="A356" s="8">
        <v>50</v>
      </c>
      <c r="B356" s="8">
        <v>5</v>
      </c>
      <c r="C356" s="11">
        <f>INDEX(paste_RI!$B$2:$K$57,MATCH(MAX($A356,$B356+14),paste_RI!$A$2:$A$57,0),$B356)</f>
        <v>1.4557E-2</v>
      </c>
      <c r="D356" s="11">
        <f>INDEX(paste_TI!$B$2:$G$57,MATCH(MAX($A356,MIN($B356,6)+14),paste_TI!$A$2:$A$57,0),MIN($B356,6))</f>
        <v>1.1771E-2</v>
      </c>
    </row>
    <row r="357" spans="1:4" ht="15" customHeight="1" x14ac:dyDescent="0.45">
      <c r="A357" s="8">
        <v>50</v>
      </c>
      <c r="B357" s="8">
        <v>6</v>
      </c>
      <c r="C357" s="11">
        <f>INDEX(paste_RI!$B$2:$K$57,MATCH(MAX($A357,$B357+14),paste_RI!$A$2:$A$57,0),$B357)</f>
        <v>1.0529E-2</v>
      </c>
      <c r="D357" s="11">
        <f>INDEX(paste_TI!$B$2:$G$57,MATCH(MAX($A357,MIN($B357,6)+14),paste_TI!$A$2:$A$57,0),MIN($B357,6))</f>
        <v>9.0670000000000004E-3</v>
      </c>
    </row>
    <row r="358" spans="1:4" ht="15" customHeight="1" x14ac:dyDescent="0.45">
      <c r="A358" s="8">
        <v>50</v>
      </c>
      <c r="B358" s="8">
        <v>7</v>
      </c>
      <c r="C358" s="11">
        <f>INDEX(paste_RI!$B$2:$K$57,MATCH(MAX($A358,$B358+14),paste_RI!$A$2:$A$57,0),$B358)</f>
        <v>9.7470000000000005E-3</v>
      </c>
      <c r="D358" s="11">
        <f>INDEX(paste_TI!$B$2:$G$57,MATCH(MAX($A358,MIN($B358,6)+14),paste_TI!$A$2:$A$57,0),MIN($B358,6))</f>
        <v>9.0670000000000004E-3</v>
      </c>
    </row>
    <row r="359" spans="1:4" ht="15" customHeight="1" x14ac:dyDescent="0.45">
      <c r="A359" s="8">
        <v>50</v>
      </c>
      <c r="B359" s="8">
        <v>8</v>
      </c>
      <c r="C359" s="11">
        <f>INDEX(paste_RI!$B$2:$K$57,MATCH(MAX($A359,$B359+14),paste_RI!$A$2:$A$57,0),$B359)</f>
        <v>7.3109999999999998E-3</v>
      </c>
      <c r="D359" s="11">
        <f>INDEX(paste_TI!$B$2:$G$57,MATCH(MAX($A359,MIN($B359,6)+14),paste_TI!$A$2:$A$57,0),MIN($B359,6))</f>
        <v>9.0670000000000004E-3</v>
      </c>
    </row>
    <row r="360" spans="1:4" ht="15" customHeight="1" x14ac:dyDescent="0.45">
      <c r="A360" s="8">
        <v>50</v>
      </c>
      <c r="B360" s="8">
        <v>9</v>
      </c>
      <c r="C360" s="11">
        <f>INDEX(paste_RI!$B$2:$K$57,MATCH(MAX($A360,$B360+14),paste_RI!$A$2:$A$57,0),$B360)</f>
        <v>6.5459999999999997E-3</v>
      </c>
      <c r="D360" s="11">
        <f>INDEX(paste_TI!$B$2:$G$57,MATCH(MAX($A360,MIN($B360,6)+14),paste_TI!$A$2:$A$57,0),MIN($B360,6))</f>
        <v>9.0670000000000004E-3</v>
      </c>
    </row>
    <row r="361" spans="1:4" ht="15" customHeight="1" x14ac:dyDescent="0.45">
      <c r="A361" s="8">
        <v>50</v>
      </c>
      <c r="B361" s="8">
        <v>10</v>
      </c>
      <c r="C361" s="11">
        <f>INDEX(paste_RI!$B$2:$K$57,MATCH(MAX($A361,$B361+14),paste_RI!$A$2:$A$57,0),$B361)</f>
        <v>4.4990000000000004E-3</v>
      </c>
      <c r="D361" s="11">
        <f>INDEX(paste_TI!$B$2:$G$57,MATCH(MAX($A361,MIN($B361,6)+14),paste_TI!$A$2:$A$57,0),MIN($B361,6))</f>
        <v>9.0670000000000004E-3</v>
      </c>
    </row>
    <row r="362" spans="1:4" ht="15" customHeight="1" x14ac:dyDescent="0.45">
      <c r="A362" s="8">
        <v>51</v>
      </c>
      <c r="B362" s="8">
        <v>1</v>
      </c>
      <c r="C362" s="11">
        <f>INDEX(paste_RI!$B$2:$K$57,MATCH(MAX($A362,$B362+14),paste_RI!$A$2:$A$57,0),$B362)</f>
        <v>7.5819999999999999E-2</v>
      </c>
      <c r="D362" s="11">
        <f>INDEX(paste_TI!$B$2:$G$57,MATCH(MAX($A362,MIN($B362,6)+14),paste_TI!$A$2:$A$57,0),MIN($B362,6))</f>
        <v>3.1719999999999998E-2</v>
      </c>
    </row>
    <row r="363" spans="1:4" ht="15" customHeight="1" x14ac:dyDescent="0.45">
      <c r="A363" s="8">
        <v>51</v>
      </c>
      <c r="B363" s="8">
        <v>2</v>
      </c>
      <c r="C363" s="11">
        <f>INDEX(paste_RI!$B$2:$K$57,MATCH(MAX($A363,$B363+14),paste_RI!$A$2:$A$57,0),$B363)</f>
        <v>6.8792000000000006E-2</v>
      </c>
      <c r="D363" s="11">
        <f>INDEX(paste_TI!$B$2:$G$57,MATCH(MAX($A363,MIN($B363,6)+14),paste_TI!$A$2:$A$57,0),MIN($B363,6))</f>
        <v>3.6019000000000002E-2</v>
      </c>
    </row>
    <row r="364" spans="1:4" ht="15" customHeight="1" x14ac:dyDescent="0.45">
      <c r="A364" s="8">
        <v>51</v>
      </c>
      <c r="B364" s="8">
        <v>3</v>
      </c>
      <c r="C364" s="11">
        <f>INDEX(paste_RI!$B$2:$K$57,MATCH(MAX($A364,$B364+14),paste_RI!$A$2:$A$57,0),$B364)</f>
        <v>2.8639999999999999E-2</v>
      </c>
      <c r="D364" s="11">
        <f>INDEX(paste_TI!$B$2:$G$57,MATCH(MAX($A364,MIN($B364,6)+14),paste_TI!$A$2:$A$57,0),MIN($B364,6))</f>
        <v>2.3954E-2</v>
      </c>
    </row>
    <row r="365" spans="1:4" ht="15" customHeight="1" x14ac:dyDescent="0.45">
      <c r="A365" s="8">
        <v>51</v>
      </c>
      <c r="B365" s="8">
        <v>4</v>
      </c>
      <c r="C365" s="11">
        <f>INDEX(paste_RI!$B$2:$K$57,MATCH(MAX($A365,$B365+14),paste_RI!$A$2:$A$57,0),$B365)</f>
        <v>1.7586000000000001E-2</v>
      </c>
      <c r="D365" s="11">
        <f>INDEX(paste_TI!$B$2:$G$57,MATCH(MAX($A365,MIN($B365,6)+14),paste_TI!$A$2:$A$57,0),MIN($B365,6))</f>
        <v>1.7070999999999999E-2</v>
      </c>
    </row>
    <row r="366" spans="1:4" ht="15" customHeight="1" x14ac:dyDescent="0.45">
      <c r="A366" s="8">
        <v>51</v>
      </c>
      <c r="B366" s="8">
        <v>5</v>
      </c>
      <c r="C366" s="11">
        <f>INDEX(paste_RI!$B$2:$K$57,MATCH(MAX($A366,$B366+14),paste_RI!$A$2:$A$57,0),$B366)</f>
        <v>1.2244E-2</v>
      </c>
      <c r="D366" s="11">
        <f>INDEX(paste_TI!$B$2:$G$57,MATCH(MAX($A366,MIN($B366,6)+14),paste_TI!$A$2:$A$57,0),MIN($B366,6))</f>
        <v>1.2352E-2</v>
      </c>
    </row>
    <row r="367" spans="1:4" ht="15" customHeight="1" x14ac:dyDescent="0.45">
      <c r="A367" s="8">
        <v>51</v>
      </c>
      <c r="B367" s="8">
        <v>6</v>
      </c>
      <c r="C367" s="11">
        <f>INDEX(paste_RI!$B$2:$K$57,MATCH(MAX($A367,$B367+14),paste_RI!$A$2:$A$57,0),$B367)</f>
        <v>8.8590000000000006E-3</v>
      </c>
      <c r="D367" s="11">
        <f>INDEX(paste_TI!$B$2:$G$57,MATCH(MAX($A367,MIN($B367,6)+14),paste_TI!$A$2:$A$57,0),MIN($B367,6))</f>
        <v>9.7219999999999997E-3</v>
      </c>
    </row>
    <row r="368" spans="1:4" ht="15" customHeight="1" x14ac:dyDescent="0.45">
      <c r="A368" s="8">
        <v>51</v>
      </c>
      <c r="B368" s="8">
        <v>7</v>
      </c>
      <c r="C368" s="11">
        <f>INDEX(paste_RI!$B$2:$K$57,MATCH(MAX($A368,$B368+14),paste_RI!$A$2:$A$57,0),$B368)</f>
        <v>8.5019999999999991E-3</v>
      </c>
      <c r="D368" s="11">
        <f>INDEX(paste_TI!$B$2:$G$57,MATCH(MAX($A368,MIN($B368,6)+14),paste_TI!$A$2:$A$57,0),MIN($B368,6))</f>
        <v>9.7219999999999997E-3</v>
      </c>
    </row>
    <row r="369" spans="1:4" ht="15" customHeight="1" x14ac:dyDescent="0.45">
      <c r="A369" s="8">
        <v>51</v>
      </c>
      <c r="B369" s="8">
        <v>8</v>
      </c>
      <c r="C369" s="11">
        <f>INDEX(paste_RI!$B$2:$K$57,MATCH(MAX($A369,$B369+14),paste_RI!$A$2:$A$57,0),$B369)</f>
        <v>6.2100000000000002E-3</v>
      </c>
      <c r="D369" s="11">
        <f>INDEX(paste_TI!$B$2:$G$57,MATCH(MAX($A369,MIN($B369,6)+14),paste_TI!$A$2:$A$57,0),MIN($B369,6))</f>
        <v>9.7219999999999997E-3</v>
      </c>
    </row>
    <row r="370" spans="1:4" ht="15" customHeight="1" x14ac:dyDescent="0.45">
      <c r="A370" s="8">
        <v>51</v>
      </c>
      <c r="B370" s="8">
        <v>9</v>
      </c>
      <c r="C370" s="11">
        <f>INDEX(paste_RI!$B$2:$K$57,MATCH(MAX($A370,$B370+14),paste_RI!$A$2:$A$57,0),$B370)</f>
        <v>5.5059999999999996E-3</v>
      </c>
      <c r="D370" s="11">
        <f>INDEX(paste_TI!$B$2:$G$57,MATCH(MAX($A370,MIN($B370,6)+14),paste_TI!$A$2:$A$57,0),MIN($B370,6))</f>
        <v>9.7219999999999997E-3</v>
      </c>
    </row>
    <row r="371" spans="1:4" ht="15" customHeight="1" x14ac:dyDescent="0.45">
      <c r="A371" s="8">
        <v>51</v>
      </c>
      <c r="B371" s="8">
        <v>10</v>
      </c>
      <c r="C371" s="11">
        <f>INDEX(paste_RI!$B$2:$K$57,MATCH(MAX($A371,$B371+14),paste_RI!$A$2:$A$57,0),$B371)</f>
        <v>4.0410000000000003E-3</v>
      </c>
      <c r="D371" s="11">
        <f>INDEX(paste_TI!$B$2:$G$57,MATCH(MAX($A371,MIN($B371,6)+14),paste_TI!$A$2:$A$57,0),MIN($B371,6))</f>
        <v>9.7219999999999997E-3</v>
      </c>
    </row>
    <row r="372" spans="1:4" ht="15" customHeight="1" x14ac:dyDescent="0.45">
      <c r="A372" s="8">
        <v>52</v>
      </c>
      <c r="B372" s="8">
        <v>1</v>
      </c>
      <c r="C372" s="11">
        <f>INDEX(paste_RI!$B$2:$K$57,MATCH(MAX($A372,$B372+14),paste_RI!$A$2:$A$57,0),$B372)</f>
        <v>6.9099999999999995E-2</v>
      </c>
      <c r="D372" s="11">
        <f>INDEX(paste_TI!$B$2:$G$57,MATCH(MAX($A372,MIN($B372,6)+14),paste_TI!$A$2:$A$57,0),MIN($B372,6))</f>
        <v>3.3069000000000001E-2</v>
      </c>
    </row>
    <row r="373" spans="1:4" ht="15" customHeight="1" x14ac:dyDescent="0.45">
      <c r="A373" s="8">
        <v>52</v>
      </c>
      <c r="B373" s="8">
        <v>2</v>
      </c>
      <c r="C373" s="11">
        <f>INDEX(paste_RI!$B$2:$K$57,MATCH(MAX($A373,$B373+14),paste_RI!$A$2:$A$57,0),$B373)</f>
        <v>6.1409999999999999E-2</v>
      </c>
      <c r="D373" s="11">
        <f>INDEX(paste_TI!$B$2:$G$57,MATCH(MAX($A373,MIN($B373,6)+14),paste_TI!$A$2:$A$57,0),MIN($B373,6))</f>
        <v>3.7131999999999998E-2</v>
      </c>
    </row>
    <row r="374" spans="1:4" ht="15" customHeight="1" x14ac:dyDescent="0.45">
      <c r="A374" s="8">
        <v>52</v>
      </c>
      <c r="B374" s="8">
        <v>3</v>
      </c>
      <c r="C374" s="11">
        <f>INDEX(paste_RI!$B$2:$K$57,MATCH(MAX($A374,$B374+14),paste_RI!$A$2:$A$57,0),$B374)</f>
        <v>2.5086000000000001E-2</v>
      </c>
      <c r="D374" s="11">
        <f>INDEX(paste_TI!$B$2:$G$57,MATCH(MAX($A374,MIN($B374,6)+14),paste_TI!$A$2:$A$57,0),MIN($B374,6))</f>
        <v>2.4892999999999998E-2</v>
      </c>
    </row>
    <row r="375" spans="1:4" ht="15" customHeight="1" x14ac:dyDescent="0.45">
      <c r="A375" s="8">
        <v>52</v>
      </c>
      <c r="B375" s="8">
        <v>4</v>
      </c>
      <c r="C375" s="11">
        <f>INDEX(paste_RI!$B$2:$K$57,MATCH(MAX($A375,$B375+14),paste_RI!$A$2:$A$57,0),$B375)</f>
        <v>1.5077999999999999E-2</v>
      </c>
      <c r="D375" s="11">
        <f>INDEX(paste_TI!$B$2:$G$57,MATCH(MAX($A375,MIN($B375,6)+14),paste_TI!$A$2:$A$57,0),MIN($B375,6))</f>
        <v>1.7912000000000001E-2</v>
      </c>
    </row>
    <row r="376" spans="1:4" ht="15" customHeight="1" x14ac:dyDescent="0.45">
      <c r="A376" s="8">
        <v>52</v>
      </c>
      <c r="B376" s="8">
        <v>5</v>
      </c>
      <c r="C376" s="11">
        <f>INDEX(paste_RI!$B$2:$K$57,MATCH(MAX($A376,$B376+14),paste_RI!$A$2:$A$57,0),$B376)</f>
        <v>1.0207000000000001E-2</v>
      </c>
      <c r="D376" s="11">
        <f>INDEX(paste_TI!$B$2:$G$57,MATCH(MAX($A376,MIN($B376,6)+14),paste_TI!$A$2:$A$57,0),MIN($B376,6))</f>
        <v>1.2945999999999999E-2</v>
      </c>
    </row>
    <row r="377" spans="1:4" ht="15" customHeight="1" x14ac:dyDescent="0.45">
      <c r="A377" s="8">
        <v>52</v>
      </c>
      <c r="B377" s="8">
        <v>6</v>
      </c>
      <c r="C377" s="11">
        <f>INDEX(paste_RI!$B$2:$K$57,MATCH(MAX($A377,$B377+14),paste_RI!$A$2:$A$57,0),$B377)</f>
        <v>7.5380000000000004E-3</v>
      </c>
      <c r="D377" s="11">
        <f>INDEX(paste_TI!$B$2:$G$57,MATCH(MAX($A377,MIN($B377,6)+14),paste_TI!$A$2:$A$57,0),MIN($B377,6))</f>
        <v>1.0429000000000001E-2</v>
      </c>
    </row>
    <row r="378" spans="1:4" ht="15" customHeight="1" x14ac:dyDescent="0.45">
      <c r="A378" s="8">
        <v>52</v>
      </c>
      <c r="B378" s="8">
        <v>7</v>
      </c>
      <c r="C378" s="11">
        <f>INDEX(paste_RI!$B$2:$K$57,MATCH(MAX($A378,$B378+14),paste_RI!$A$2:$A$57,0),$B378)</f>
        <v>7.3400000000000002E-3</v>
      </c>
      <c r="D378" s="11">
        <f>INDEX(paste_TI!$B$2:$G$57,MATCH(MAX($A378,MIN($B378,6)+14),paste_TI!$A$2:$A$57,0),MIN($B378,6))</f>
        <v>1.0429000000000001E-2</v>
      </c>
    </row>
    <row r="379" spans="1:4" ht="15" customHeight="1" x14ac:dyDescent="0.45">
      <c r="A379" s="8">
        <v>52</v>
      </c>
      <c r="B379" s="8">
        <v>8</v>
      </c>
      <c r="C379" s="11">
        <f>INDEX(paste_RI!$B$2:$K$57,MATCH(MAX($A379,$B379+14),paste_RI!$A$2:$A$57,0),$B379)</f>
        <v>5.2459999999999998E-3</v>
      </c>
      <c r="D379" s="11">
        <f>INDEX(paste_TI!$B$2:$G$57,MATCH(MAX($A379,MIN($B379,6)+14),paste_TI!$A$2:$A$57,0),MIN($B379,6))</f>
        <v>1.0429000000000001E-2</v>
      </c>
    </row>
    <row r="380" spans="1:4" ht="15" customHeight="1" x14ac:dyDescent="0.45">
      <c r="A380" s="8">
        <v>52</v>
      </c>
      <c r="B380" s="8">
        <v>9</v>
      </c>
      <c r="C380" s="11">
        <f>INDEX(paste_RI!$B$2:$K$57,MATCH(MAX($A380,$B380+14),paste_RI!$A$2:$A$57,0),$B380)</f>
        <v>4.5519999999999996E-3</v>
      </c>
      <c r="D380" s="11">
        <f>INDEX(paste_TI!$B$2:$G$57,MATCH(MAX($A380,MIN($B380,6)+14),paste_TI!$A$2:$A$57,0),MIN($B380,6))</f>
        <v>1.0429000000000001E-2</v>
      </c>
    </row>
    <row r="381" spans="1:4" ht="15" customHeight="1" x14ac:dyDescent="0.45">
      <c r="A381" s="8">
        <v>52</v>
      </c>
      <c r="B381" s="8">
        <v>10</v>
      </c>
      <c r="C381" s="11">
        <f>INDEX(paste_RI!$B$2:$K$57,MATCH(MAX($A381,$B381+14),paste_RI!$A$2:$A$57,0),$B381)</f>
        <v>3.4889999999999999E-3</v>
      </c>
      <c r="D381" s="11">
        <f>INDEX(paste_TI!$B$2:$G$57,MATCH(MAX($A381,MIN($B381,6)+14),paste_TI!$A$2:$A$57,0),MIN($B381,6))</f>
        <v>1.0429000000000001E-2</v>
      </c>
    </row>
    <row r="382" spans="1:4" ht="15" customHeight="1" x14ac:dyDescent="0.45">
      <c r="A382" s="8">
        <v>53</v>
      </c>
      <c r="B382" s="8">
        <v>1</v>
      </c>
      <c r="C382" s="11">
        <f>INDEX(paste_RI!$B$2:$K$57,MATCH(MAX($A382,$B382+14),paste_RI!$A$2:$A$57,0),$B382)</f>
        <v>6.2189000000000001E-2</v>
      </c>
      <c r="D382" s="11">
        <f>INDEX(paste_TI!$B$2:$G$57,MATCH(MAX($A382,MIN($B382,6)+14),paste_TI!$A$2:$A$57,0),MIN($B382,6))</f>
        <v>3.4398999999999999E-2</v>
      </c>
    </row>
    <row r="383" spans="1:4" ht="15" customHeight="1" x14ac:dyDescent="0.45">
      <c r="A383" s="8">
        <v>53</v>
      </c>
      <c r="B383" s="8">
        <v>2</v>
      </c>
      <c r="C383" s="11">
        <f>INDEX(paste_RI!$B$2:$K$57,MATCH(MAX($A383,$B383+14),paste_RI!$A$2:$A$57,0),$B383)</f>
        <v>5.4200999999999999E-2</v>
      </c>
      <c r="D383" s="11">
        <f>INDEX(paste_TI!$B$2:$G$57,MATCH(MAX($A383,MIN($B383,6)+14),paste_TI!$A$2:$A$57,0),MIN($B383,6))</f>
        <v>3.8225000000000002E-2</v>
      </c>
    </row>
    <row r="384" spans="1:4" ht="15" customHeight="1" x14ac:dyDescent="0.45">
      <c r="A384" s="8">
        <v>53</v>
      </c>
      <c r="B384" s="8">
        <v>3</v>
      </c>
      <c r="C384" s="11">
        <f>INDEX(paste_RI!$B$2:$K$57,MATCH(MAX($A384,$B384+14),paste_RI!$A$2:$A$57,0),$B384)</f>
        <v>2.1677999999999999E-2</v>
      </c>
      <c r="D384" s="11">
        <f>INDEX(paste_TI!$B$2:$G$57,MATCH(MAX($A384,MIN($B384,6)+14),paste_TI!$A$2:$A$57,0),MIN($B384,6))</f>
        <v>2.5821E-2</v>
      </c>
    </row>
    <row r="385" spans="1:4" ht="15" customHeight="1" x14ac:dyDescent="0.45">
      <c r="A385" s="8">
        <v>53</v>
      </c>
      <c r="B385" s="8">
        <v>4</v>
      </c>
      <c r="C385" s="11">
        <f>INDEX(paste_RI!$B$2:$K$57,MATCH(MAX($A385,$B385+14),paste_RI!$A$2:$A$57,0),$B385)</f>
        <v>1.2826000000000001E-2</v>
      </c>
      <c r="D385" s="11">
        <f>INDEX(paste_TI!$B$2:$G$57,MATCH(MAX($A385,MIN($B385,6)+14),paste_TI!$A$2:$A$57,0),MIN($B385,6))</f>
        <v>1.8783000000000001E-2</v>
      </c>
    </row>
    <row r="386" spans="1:4" ht="15" customHeight="1" x14ac:dyDescent="0.45">
      <c r="A386" s="8">
        <v>53</v>
      </c>
      <c r="B386" s="8">
        <v>5</v>
      </c>
      <c r="C386" s="11">
        <f>INDEX(paste_RI!$B$2:$K$57,MATCH(MAX($A386,$B386+14),paste_RI!$A$2:$A$57,0),$B386)</f>
        <v>8.5190000000000005E-3</v>
      </c>
      <c r="D386" s="11">
        <f>INDEX(paste_TI!$B$2:$G$57,MATCH(MAX($A386,MIN($B386,6)+14),paste_TI!$A$2:$A$57,0),MIN($B386,6))</f>
        <v>1.3553000000000001E-2</v>
      </c>
    </row>
    <row r="387" spans="1:4" ht="15" customHeight="1" x14ac:dyDescent="0.45">
      <c r="A387" s="8">
        <v>53</v>
      </c>
      <c r="B387" s="8">
        <v>6</v>
      </c>
      <c r="C387" s="11">
        <f>INDEX(paste_RI!$B$2:$K$57,MATCH(MAX($A387,$B387+14),paste_RI!$A$2:$A$57,0),$B387)</f>
        <v>6.5539999999999999E-3</v>
      </c>
      <c r="D387" s="11">
        <f>INDEX(paste_TI!$B$2:$G$57,MATCH(MAX($A387,MIN($B387,6)+14),paste_TI!$A$2:$A$57,0),MIN($B387,6))</f>
        <v>1.1199000000000001E-2</v>
      </c>
    </row>
    <row r="388" spans="1:4" ht="15" customHeight="1" x14ac:dyDescent="0.45">
      <c r="A388" s="8">
        <v>53</v>
      </c>
      <c r="B388" s="8">
        <v>7</v>
      </c>
      <c r="C388" s="11">
        <f>INDEX(paste_RI!$B$2:$K$57,MATCH(MAX($A388,$B388+14),paste_RI!$A$2:$A$57,0),$B388)</f>
        <v>6.2529999999999999E-3</v>
      </c>
      <c r="D388" s="11">
        <f>INDEX(paste_TI!$B$2:$G$57,MATCH(MAX($A388,MIN($B388,6)+14),paste_TI!$A$2:$A$57,0),MIN($B388,6))</f>
        <v>1.1199000000000001E-2</v>
      </c>
    </row>
    <row r="389" spans="1:4" ht="15" customHeight="1" x14ac:dyDescent="0.45">
      <c r="A389" s="8">
        <v>53</v>
      </c>
      <c r="B389" s="8">
        <v>8</v>
      </c>
      <c r="C389" s="11">
        <f>INDEX(paste_RI!$B$2:$K$57,MATCH(MAX($A389,$B389+14),paste_RI!$A$2:$A$57,0),$B389)</f>
        <v>4.45E-3</v>
      </c>
      <c r="D389" s="11">
        <f>INDEX(paste_TI!$B$2:$G$57,MATCH(MAX($A389,MIN($B389,6)+14),paste_TI!$A$2:$A$57,0),MIN($B389,6))</f>
        <v>1.1199000000000001E-2</v>
      </c>
    </row>
    <row r="390" spans="1:4" ht="15" customHeight="1" x14ac:dyDescent="0.45">
      <c r="A390" s="8">
        <v>53</v>
      </c>
      <c r="B390" s="8">
        <v>9</v>
      </c>
      <c r="C390" s="11">
        <f>INDEX(paste_RI!$B$2:$K$57,MATCH(MAX($A390,$B390+14),paste_RI!$A$2:$A$57,0),$B390)</f>
        <v>3.715E-3</v>
      </c>
      <c r="D390" s="11">
        <f>INDEX(paste_TI!$B$2:$G$57,MATCH(MAX($A390,MIN($B390,6)+14),paste_TI!$A$2:$A$57,0),MIN($B390,6))</f>
        <v>1.1199000000000001E-2</v>
      </c>
    </row>
    <row r="391" spans="1:4" ht="15" customHeight="1" x14ac:dyDescent="0.45">
      <c r="A391" s="8">
        <v>53</v>
      </c>
      <c r="B391" s="8">
        <v>10</v>
      </c>
      <c r="C391" s="11">
        <f>INDEX(paste_RI!$B$2:$K$57,MATCH(MAX($A391,$B391+14),paste_RI!$A$2:$A$57,0),$B391)</f>
        <v>2.954E-3</v>
      </c>
      <c r="D391" s="11">
        <f>INDEX(paste_TI!$B$2:$G$57,MATCH(MAX($A391,MIN($B391,6)+14),paste_TI!$A$2:$A$57,0),MIN($B391,6))</f>
        <v>1.1199000000000001E-2</v>
      </c>
    </row>
    <row r="392" spans="1:4" ht="15" customHeight="1" x14ac:dyDescent="0.45">
      <c r="A392" s="8">
        <v>54</v>
      </c>
      <c r="B392" s="8">
        <v>1</v>
      </c>
      <c r="C392" s="11">
        <f>INDEX(paste_RI!$B$2:$K$57,MATCH(MAX($A392,$B392+14),paste_RI!$A$2:$A$57,0),$B392)</f>
        <v>5.5530999999999997E-2</v>
      </c>
      <c r="D392" s="11">
        <f>INDEX(paste_TI!$B$2:$G$57,MATCH(MAX($A392,MIN($B392,6)+14),paste_TI!$A$2:$A$57,0),MIN($B392,6))</f>
        <v>3.5708999999999998E-2</v>
      </c>
    </row>
    <row r="393" spans="1:4" ht="15" customHeight="1" x14ac:dyDescent="0.45">
      <c r="A393" s="8">
        <v>54</v>
      </c>
      <c r="B393" s="8">
        <v>2</v>
      </c>
      <c r="C393" s="11">
        <f>INDEX(paste_RI!$B$2:$K$57,MATCH(MAX($A393,$B393+14),paste_RI!$A$2:$A$57,0),$B393)</f>
        <v>4.7266000000000002E-2</v>
      </c>
      <c r="D393" s="11">
        <f>INDEX(paste_TI!$B$2:$G$57,MATCH(MAX($A393,MIN($B393,6)+14),paste_TI!$A$2:$A$57,0),MIN($B393,6))</f>
        <v>3.9298E-2</v>
      </c>
    </row>
    <row r="394" spans="1:4" ht="15" customHeight="1" x14ac:dyDescent="0.45">
      <c r="A394" s="8">
        <v>54</v>
      </c>
      <c r="B394" s="8">
        <v>3</v>
      </c>
      <c r="C394" s="11">
        <f>INDEX(paste_RI!$B$2:$K$57,MATCH(MAX($A394,$B394+14),paste_RI!$A$2:$A$57,0),$B394)</f>
        <v>1.8491E-2</v>
      </c>
      <c r="D394" s="11">
        <f>INDEX(paste_TI!$B$2:$G$57,MATCH(MAX($A394,MIN($B394,6)+14),paste_TI!$A$2:$A$57,0),MIN($B394,6))</f>
        <v>2.673E-2</v>
      </c>
    </row>
    <row r="395" spans="1:4" ht="15" customHeight="1" x14ac:dyDescent="0.45">
      <c r="A395" s="8">
        <v>54</v>
      </c>
      <c r="B395" s="8">
        <v>4</v>
      </c>
      <c r="C395" s="11">
        <f>INDEX(paste_RI!$B$2:$K$57,MATCH(MAX($A395,$B395+14),paste_RI!$A$2:$A$57,0),$B395)</f>
        <v>1.0710000000000001E-2</v>
      </c>
      <c r="D395" s="11">
        <f>INDEX(paste_TI!$B$2:$G$57,MATCH(MAX($A395,MIN($B395,6)+14),paste_TI!$A$2:$A$57,0),MIN($B395,6))</f>
        <v>1.9685000000000001E-2</v>
      </c>
    </row>
    <row r="396" spans="1:4" ht="15" customHeight="1" x14ac:dyDescent="0.45">
      <c r="A396" s="8">
        <v>54</v>
      </c>
      <c r="B396" s="8">
        <v>5</v>
      </c>
      <c r="C396" s="11">
        <f>INDEX(paste_RI!$B$2:$K$57,MATCH(MAX($A396,$B396+14),paste_RI!$A$2:$A$57,0),$B396)</f>
        <v>7.1120000000000003E-3</v>
      </c>
      <c r="D396" s="11">
        <f>INDEX(paste_TI!$B$2:$G$57,MATCH(MAX($A396,MIN($B396,6)+14),paste_TI!$A$2:$A$57,0),MIN($B396,6))</f>
        <v>1.417E-2</v>
      </c>
    </row>
    <row r="397" spans="1:4" ht="15" customHeight="1" x14ac:dyDescent="0.45">
      <c r="A397" s="8">
        <v>54</v>
      </c>
      <c r="B397" s="8">
        <v>6</v>
      </c>
      <c r="C397" s="11">
        <f>INDEX(paste_RI!$B$2:$K$57,MATCH(MAX($A397,$B397+14),paste_RI!$A$2:$A$57,0),$B397)</f>
        <v>5.8399999999999997E-3</v>
      </c>
      <c r="D397" s="11">
        <f>INDEX(paste_TI!$B$2:$G$57,MATCH(MAX($A397,MIN($B397,6)+14),paste_TI!$A$2:$A$57,0),MIN($B397,6))</f>
        <v>1.2038999999999999E-2</v>
      </c>
    </row>
    <row r="398" spans="1:4" ht="15" customHeight="1" x14ac:dyDescent="0.45">
      <c r="A398" s="8">
        <v>54</v>
      </c>
      <c r="B398" s="8">
        <v>7</v>
      </c>
      <c r="C398" s="11">
        <f>INDEX(paste_RI!$B$2:$K$57,MATCH(MAX($A398,$B398+14),paste_RI!$A$2:$A$57,0),$B398)</f>
        <v>5.2379999999999996E-3</v>
      </c>
      <c r="D398" s="11">
        <f>INDEX(paste_TI!$B$2:$G$57,MATCH(MAX($A398,MIN($B398,6)+14),paste_TI!$A$2:$A$57,0),MIN($B398,6))</f>
        <v>1.2038999999999999E-2</v>
      </c>
    </row>
    <row r="399" spans="1:4" ht="15" customHeight="1" x14ac:dyDescent="0.45">
      <c r="A399" s="8">
        <v>54</v>
      </c>
      <c r="B399" s="8">
        <v>8</v>
      </c>
      <c r="C399" s="11">
        <f>INDEX(paste_RI!$B$2:$K$57,MATCH(MAX($A399,$B399+14),paste_RI!$A$2:$A$57,0),$B399)</f>
        <v>3.8289999999999999E-3</v>
      </c>
      <c r="D399" s="11">
        <f>INDEX(paste_TI!$B$2:$G$57,MATCH(MAX($A399,MIN($B399,6)+14),paste_TI!$A$2:$A$57,0),MIN($B399,6))</f>
        <v>1.2038999999999999E-2</v>
      </c>
    </row>
    <row r="400" spans="1:4" ht="15" customHeight="1" x14ac:dyDescent="0.45">
      <c r="A400" s="8">
        <v>54</v>
      </c>
      <c r="B400" s="8">
        <v>9</v>
      </c>
      <c r="C400" s="11">
        <f>INDEX(paste_RI!$B$2:$K$57,MATCH(MAX($A400,$B400+14),paste_RI!$A$2:$A$57,0),$B400)</f>
        <v>3.0200000000000001E-3</v>
      </c>
      <c r="D400" s="11">
        <f>INDEX(paste_TI!$B$2:$G$57,MATCH(MAX($A400,MIN($B400,6)+14),paste_TI!$A$2:$A$57,0),MIN($B400,6))</f>
        <v>1.2038999999999999E-2</v>
      </c>
    </row>
    <row r="401" spans="1:4" ht="15" customHeight="1" x14ac:dyDescent="0.45">
      <c r="A401" s="8">
        <v>54</v>
      </c>
      <c r="B401" s="8">
        <v>10</v>
      </c>
      <c r="C401" s="11">
        <f>INDEX(paste_RI!$B$2:$K$57,MATCH(MAX($A401,$B401+14),paste_RI!$A$2:$A$57,0),$B401)</f>
        <v>2.5409999999999999E-3</v>
      </c>
      <c r="D401" s="11">
        <f>INDEX(paste_TI!$B$2:$G$57,MATCH(MAX($A401,MIN($B401,6)+14),paste_TI!$A$2:$A$57,0),MIN($B401,6))</f>
        <v>1.2038999999999999E-2</v>
      </c>
    </row>
    <row r="402" spans="1:4" ht="15" customHeight="1" x14ac:dyDescent="0.45">
      <c r="A402" s="8">
        <v>55</v>
      </c>
      <c r="B402" s="8">
        <v>1</v>
      </c>
      <c r="C402" s="11">
        <f>INDEX(paste_RI!$B$2:$K$57,MATCH(MAX($A402,$B402+14),paste_RI!$A$2:$A$57,0),$B402)</f>
        <v>4.9502999999999998E-2</v>
      </c>
      <c r="D402" s="11">
        <f>INDEX(paste_TI!$B$2:$G$57,MATCH(MAX($A402,MIN($B402,6)+14),paste_TI!$A$2:$A$57,0),MIN($B402,6))</f>
        <v>3.7003000000000001E-2</v>
      </c>
    </row>
    <row r="403" spans="1:4" ht="15" customHeight="1" x14ac:dyDescent="0.45">
      <c r="A403" s="8">
        <v>55</v>
      </c>
      <c r="B403" s="8">
        <v>2</v>
      </c>
      <c r="C403" s="11">
        <f>INDEX(paste_RI!$B$2:$K$57,MATCH(MAX($A403,$B403+14),paste_RI!$A$2:$A$57,0),$B403)</f>
        <v>4.0762E-2</v>
      </c>
      <c r="D403" s="11">
        <f>INDEX(paste_TI!$B$2:$G$57,MATCH(MAX($A403,MIN($B403,6)+14),paste_TI!$A$2:$A$57,0),MIN($B403,6))</f>
        <v>4.0353E-2</v>
      </c>
    </row>
    <row r="404" spans="1:4" ht="15" customHeight="1" x14ac:dyDescent="0.45">
      <c r="A404" s="8">
        <v>55</v>
      </c>
      <c r="B404" s="8">
        <v>3</v>
      </c>
      <c r="C404" s="11">
        <f>INDEX(paste_RI!$B$2:$K$57,MATCH(MAX($A404,$B404+14),paste_RI!$A$2:$A$57,0),$B404)</f>
        <v>1.5517E-2</v>
      </c>
      <c r="D404" s="11">
        <f>INDEX(paste_TI!$B$2:$G$57,MATCH(MAX($A404,MIN($B404,6)+14),paste_TI!$A$2:$A$57,0),MIN($B404,6))</f>
        <v>2.7616000000000002E-2</v>
      </c>
    </row>
    <row r="405" spans="1:4" ht="15" customHeight="1" x14ac:dyDescent="0.45">
      <c r="A405" s="8">
        <v>55</v>
      </c>
      <c r="B405" s="8">
        <v>4</v>
      </c>
      <c r="C405" s="11">
        <f>INDEX(paste_RI!$B$2:$K$57,MATCH(MAX($A405,$B405+14),paste_RI!$A$2:$A$57,0),$B405)</f>
        <v>8.7379999999999992E-3</v>
      </c>
      <c r="D405" s="11">
        <f>INDEX(paste_TI!$B$2:$G$57,MATCH(MAX($A405,MIN($B405,6)+14),paste_TI!$A$2:$A$57,0),MIN($B405,6))</f>
        <v>2.0612999999999999E-2</v>
      </c>
    </row>
    <row r="406" spans="1:4" ht="15" customHeight="1" x14ac:dyDescent="0.45">
      <c r="A406" s="8">
        <v>55</v>
      </c>
      <c r="B406" s="8">
        <v>5</v>
      </c>
      <c r="C406" s="11">
        <f>INDEX(paste_RI!$B$2:$K$57,MATCH(MAX($A406,$B406+14),paste_RI!$A$2:$A$57,0),$B406)</f>
        <v>5.842E-3</v>
      </c>
      <c r="D406" s="11">
        <f>INDEX(paste_TI!$B$2:$G$57,MATCH(MAX($A406,MIN($B406,6)+14),paste_TI!$A$2:$A$57,0),MIN($B406,6))</f>
        <v>1.4793000000000001E-2</v>
      </c>
    </row>
    <row r="407" spans="1:4" ht="15" customHeight="1" x14ac:dyDescent="0.45">
      <c r="A407" s="8">
        <v>55</v>
      </c>
      <c r="B407" s="8">
        <v>6</v>
      </c>
      <c r="C407" s="11">
        <f>INDEX(paste_RI!$B$2:$K$57,MATCH(MAX($A407,$B407+14),paste_RI!$A$2:$A$57,0),$B407)</f>
        <v>5.2630000000000003E-3</v>
      </c>
      <c r="D407" s="11">
        <f>INDEX(paste_TI!$B$2:$G$57,MATCH(MAX($A407,MIN($B407,6)+14),paste_TI!$A$2:$A$57,0),MIN($B407,6))</f>
        <v>1.2945999999999999E-2</v>
      </c>
    </row>
    <row r="408" spans="1:4" ht="15" customHeight="1" x14ac:dyDescent="0.45">
      <c r="A408" s="8">
        <v>55</v>
      </c>
      <c r="B408" s="8">
        <v>7</v>
      </c>
      <c r="C408" s="11">
        <f>INDEX(paste_RI!$B$2:$K$57,MATCH(MAX($A408,$B408+14),paste_RI!$A$2:$A$57,0),$B408)</f>
        <v>4.3030000000000004E-3</v>
      </c>
      <c r="D408" s="11">
        <f>INDEX(paste_TI!$B$2:$G$57,MATCH(MAX($A408,MIN($B408,6)+14),paste_TI!$A$2:$A$57,0),MIN($B408,6))</f>
        <v>1.2945999999999999E-2</v>
      </c>
    </row>
    <row r="409" spans="1:4" ht="15" customHeight="1" x14ac:dyDescent="0.45">
      <c r="A409" s="8">
        <v>55</v>
      </c>
      <c r="B409" s="8">
        <v>8</v>
      </c>
      <c r="C409" s="11">
        <f>INDEX(paste_RI!$B$2:$K$57,MATCH(MAX($A409,$B409+14),paste_RI!$A$2:$A$57,0),$B409)</f>
        <v>3.3419999999999999E-3</v>
      </c>
      <c r="D409" s="11">
        <f>INDEX(paste_TI!$B$2:$G$57,MATCH(MAX($A409,MIN($B409,6)+14),paste_TI!$A$2:$A$57,0),MIN($B409,6))</f>
        <v>1.2945999999999999E-2</v>
      </c>
    </row>
    <row r="410" spans="1:4" ht="15" customHeight="1" x14ac:dyDescent="0.45">
      <c r="A410" s="8">
        <v>55</v>
      </c>
      <c r="B410" s="8">
        <v>9</v>
      </c>
      <c r="C410" s="11">
        <f>INDEX(paste_RI!$B$2:$K$57,MATCH(MAX($A410,$B410+14),paste_RI!$A$2:$A$57,0),$B410)</f>
        <v>2.4520000000000002E-3</v>
      </c>
      <c r="D410" s="11">
        <f>INDEX(paste_TI!$B$2:$G$57,MATCH(MAX($A410,MIN($B410,6)+14),paste_TI!$A$2:$A$57,0),MIN($B410,6))</f>
        <v>1.2945999999999999E-2</v>
      </c>
    </row>
    <row r="411" spans="1:4" ht="15" customHeight="1" x14ac:dyDescent="0.45">
      <c r="A411" s="8">
        <v>55</v>
      </c>
      <c r="B411" s="8">
        <v>10</v>
      </c>
      <c r="C411" s="11">
        <f>INDEX(paste_RI!$B$2:$K$57,MATCH(MAX($A411,$B411+14),paste_RI!$A$2:$A$57,0),$B411)</f>
        <v>2.1970000000000002E-3</v>
      </c>
      <c r="D411" s="11">
        <f>INDEX(paste_TI!$B$2:$G$57,MATCH(MAX($A411,MIN($B411,6)+14),paste_TI!$A$2:$A$57,0),MIN($B411,6))</f>
        <v>1.2945999999999999E-2</v>
      </c>
    </row>
    <row r="412" spans="1:4" ht="15" customHeight="1" x14ac:dyDescent="0.45">
      <c r="A412" s="8">
        <v>56</v>
      </c>
      <c r="B412" s="8">
        <v>1</v>
      </c>
      <c r="C412" s="11">
        <f>INDEX(paste_RI!$B$2:$K$57,MATCH(MAX($A412,$B412+14),paste_RI!$A$2:$A$57,0),$B412)</f>
        <v>4.3880000000000002E-2</v>
      </c>
      <c r="D412" s="11">
        <f>INDEX(paste_TI!$B$2:$G$57,MATCH(MAX($A412,MIN($B412,6)+14),paste_TI!$A$2:$A$57,0),MIN($B412,6))</f>
        <v>3.8286000000000001E-2</v>
      </c>
    </row>
    <row r="413" spans="1:4" ht="15" customHeight="1" x14ac:dyDescent="0.45">
      <c r="A413" s="8">
        <v>56</v>
      </c>
      <c r="B413" s="8">
        <v>2</v>
      </c>
      <c r="C413" s="11">
        <f>INDEX(paste_RI!$B$2:$K$57,MATCH(MAX($A413,$B413+14),paste_RI!$A$2:$A$57,0),$B413)</f>
        <v>3.4654999999999998E-2</v>
      </c>
      <c r="D413" s="11">
        <f>INDEX(paste_TI!$B$2:$G$57,MATCH(MAX($A413,MIN($B413,6)+14),paste_TI!$A$2:$A$57,0),MIN($B413,6))</f>
        <v>4.1395000000000001E-2</v>
      </c>
    </row>
    <row r="414" spans="1:4" ht="15" customHeight="1" x14ac:dyDescent="0.45">
      <c r="A414" s="8">
        <v>56</v>
      </c>
      <c r="B414" s="8">
        <v>3</v>
      </c>
      <c r="C414" s="11">
        <f>INDEX(paste_RI!$B$2:$K$57,MATCH(MAX($A414,$B414+14),paste_RI!$A$2:$A$57,0),$B414)</f>
        <v>1.2727E-2</v>
      </c>
      <c r="D414" s="11">
        <f>INDEX(paste_TI!$B$2:$G$57,MATCH(MAX($A414,MIN($B414,6)+14),paste_TI!$A$2:$A$57,0),MIN($B414,6))</f>
        <v>2.8482E-2</v>
      </c>
    </row>
    <row r="415" spans="1:4" ht="15" customHeight="1" x14ac:dyDescent="0.45">
      <c r="A415" s="8">
        <v>56</v>
      </c>
      <c r="B415" s="8">
        <v>4</v>
      </c>
      <c r="C415" s="11">
        <f>INDEX(paste_RI!$B$2:$K$57,MATCH(MAX($A415,$B415+14),paste_RI!$A$2:$A$57,0),$B415)</f>
        <v>6.8739999999999999E-3</v>
      </c>
      <c r="D415" s="11">
        <f>INDEX(paste_TI!$B$2:$G$57,MATCH(MAX($A415,MIN($B415,6)+14),paste_TI!$A$2:$A$57,0),MIN($B415,6))</f>
        <v>2.1559999999999999E-2</v>
      </c>
    </row>
    <row r="416" spans="1:4" ht="15" customHeight="1" x14ac:dyDescent="0.45">
      <c r="A416" s="8">
        <v>56</v>
      </c>
      <c r="B416" s="8">
        <v>5</v>
      </c>
      <c r="C416" s="11">
        <f>INDEX(paste_RI!$B$2:$K$57,MATCH(MAX($A416,$B416+14),paste_RI!$A$2:$A$57,0),$B416)</f>
        <v>4.7289999999999997E-3</v>
      </c>
      <c r="D416" s="11">
        <f>INDEX(paste_TI!$B$2:$G$57,MATCH(MAX($A416,MIN($B416,6)+14),paste_TI!$A$2:$A$57,0),MIN($B416,6))</f>
        <v>1.542E-2</v>
      </c>
    </row>
    <row r="417" spans="1:4" ht="15" customHeight="1" x14ac:dyDescent="0.45">
      <c r="A417" s="8">
        <v>56</v>
      </c>
      <c r="B417" s="8">
        <v>6</v>
      </c>
      <c r="C417" s="11">
        <f>INDEX(paste_RI!$B$2:$K$57,MATCH(MAX($A417,$B417+14),paste_RI!$A$2:$A$57,0),$B417)</f>
        <v>4.7289999999999997E-3</v>
      </c>
      <c r="D417" s="11">
        <f>INDEX(paste_TI!$B$2:$G$57,MATCH(MAX($A417,MIN($B417,6)+14),paste_TI!$A$2:$A$57,0),MIN($B417,6))</f>
        <v>1.3918E-2</v>
      </c>
    </row>
    <row r="418" spans="1:4" ht="15" customHeight="1" x14ac:dyDescent="0.45">
      <c r="A418" s="8">
        <v>56</v>
      </c>
      <c r="B418" s="8">
        <v>7</v>
      </c>
      <c r="C418" s="11">
        <f>INDEX(paste_RI!$B$2:$K$57,MATCH(MAX($A418,$B418+14),paste_RI!$A$2:$A$57,0),$B418)</f>
        <v>3.4710000000000001E-3</v>
      </c>
      <c r="D418" s="11">
        <f>INDEX(paste_TI!$B$2:$G$57,MATCH(MAX($A418,MIN($B418,6)+14),paste_TI!$A$2:$A$57,0),MIN($B418,6))</f>
        <v>1.3918E-2</v>
      </c>
    </row>
    <row r="419" spans="1:4" ht="15" customHeight="1" x14ac:dyDescent="0.45">
      <c r="A419" s="8">
        <v>56</v>
      </c>
      <c r="B419" s="8">
        <v>8</v>
      </c>
      <c r="C419" s="11">
        <f>INDEX(paste_RI!$B$2:$K$57,MATCH(MAX($A419,$B419+14),paste_RI!$A$2:$A$57,0),$B419)</f>
        <v>2.98E-3</v>
      </c>
      <c r="D419" s="11">
        <f>INDEX(paste_TI!$B$2:$G$57,MATCH(MAX($A419,MIN($B419,6)+14),paste_TI!$A$2:$A$57,0),MIN($B419,6))</f>
        <v>1.3918E-2</v>
      </c>
    </row>
    <row r="420" spans="1:4" ht="15" customHeight="1" x14ac:dyDescent="0.45">
      <c r="A420" s="8">
        <v>56</v>
      </c>
      <c r="B420" s="8">
        <v>9</v>
      </c>
      <c r="C420" s="11">
        <f>INDEX(paste_RI!$B$2:$K$57,MATCH(MAX($A420,$B420+14),paste_RI!$A$2:$A$57,0),$B420)</f>
        <v>2.0079999999999998E-3</v>
      </c>
      <c r="D420" s="11">
        <f>INDEX(paste_TI!$B$2:$G$57,MATCH(MAX($A420,MIN($B420,6)+14),paste_TI!$A$2:$A$57,0),MIN($B420,6))</f>
        <v>1.3918E-2</v>
      </c>
    </row>
    <row r="421" spans="1:4" ht="15" customHeight="1" x14ac:dyDescent="0.45">
      <c r="A421" s="8">
        <v>56</v>
      </c>
      <c r="B421" s="8">
        <v>10</v>
      </c>
      <c r="C421" s="11">
        <f>INDEX(paste_RI!$B$2:$K$57,MATCH(MAX($A421,$B421+14),paste_RI!$A$2:$A$57,0),$B421)</f>
        <v>1.866E-3</v>
      </c>
      <c r="D421" s="11">
        <f>INDEX(paste_TI!$B$2:$G$57,MATCH(MAX($A421,MIN($B421,6)+14),paste_TI!$A$2:$A$57,0),MIN($B421,6))</f>
        <v>1.3918E-2</v>
      </c>
    </row>
    <row r="422" spans="1:4" ht="15" customHeight="1" x14ac:dyDescent="0.45">
      <c r="A422" s="8">
        <v>57</v>
      </c>
      <c r="B422" s="8">
        <v>1</v>
      </c>
      <c r="C422" s="11">
        <f>INDEX(paste_RI!$B$2:$K$57,MATCH(MAX($A422,$B422+14),paste_RI!$A$2:$A$57,0),$B422)</f>
        <v>3.8411000000000001E-2</v>
      </c>
      <c r="D422" s="11">
        <f>INDEX(paste_TI!$B$2:$G$57,MATCH(MAX($A422,MIN($B422,6)+14),paste_TI!$A$2:$A$57,0),MIN($B422,6))</f>
        <v>3.9565000000000003E-2</v>
      </c>
    </row>
    <row r="423" spans="1:4" ht="15" customHeight="1" x14ac:dyDescent="0.45">
      <c r="A423" s="8">
        <v>57</v>
      </c>
      <c r="B423" s="8">
        <v>2</v>
      </c>
      <c r="C423" s="11">
        <f>INDEX(paste_RI!$B$2:$K$57,MATCH(MAX($A423,$B423+14),paste_RI!$A$2:$A$57,0),$B423)</f>
        <v>2.8759E-2</v>
      </c>
      <c r="D423" s="11">
        <f>INDEX(paste_TI!$B$2:$G$57,MATCH(MAX($A423,MIN($B423,6)+14),paste_TI!$A$2:$A$57,0),MIN($B423,6))</f>
        <v>4.2428E-2</v>
      </c>
    </row>
    <row r="424" spans="1:4" ht="15" customHeight="1" x14ac:dyDescent="0.45">
      <c r="A424" s="8">
        <v>57</v>
      </c>
      <c r="B424" s="8">
        <v>3</v>
      </c>
      <c r="C424" s="11">
        <f>INDEX(paste_RI!$B$2:$K$57,MATCH(MAX($A424,$B424+14),paste_RI!$A$2:$A$57,0),$B424)</f>
        <v>9.9869999999999994E-3</v>
      </c>
      <c r="D424" s="11">
        <f>INDEX(paste_TI!$B$2:$G$57,MATCH(MAX($A424,MIN($B424,6)+14),paste_TI!$A$2:$A$57,0),MIN($B424,6))</f>
        <v>2.9336000000000001E-2</v>
      </c>
    </row>
    <row r="425" spans="1:4" ht="15" customHeight="1" x14ac:dyDescent="0.45">
      <c r="A425" s="8">
        <v>57</v>
      </c>
      <c r="B425" s="8">
        <v>4</v>
      </c>
      <c r="C425" s="11">
        <f>INDEX(paste_RI!$B$2:$K$57,MATCH(MAX($A425,$B425+14),paste_RI!$A$2:$A$57,0),$B425)</f>
        <v>5.1279999999999997E-3</v>
      </c>
      <c r="D425" s="11">
        <f>INDEX(paste_TI!$B$2:$G$57,MATCH(MAX($A425,MIN($B425,6)+14),paste_TI!$A$2:$A$57,0),MIN($B425,6))</f>
        <v>2.2519000000000001E-2</v>
      </c>
    </row>
    <row r="426" spans="1:4" ht="15" customHeight="1" x14ac:dyDescent="0.45">
      <c r="A426" s="8">
        <v>57</v>
      </c>
      <c r="B426" s="8">
        <v>5</v>
      </c>
      <c r="C426" s="11">
        <f>INDEX(paste_RI!$B$2:$K$57,MATCH(MAX($A426,$B426+14),paste_RI!$A$2:$A$57,0),$B426)</f>
        <v>3.738E-3</v>
      </c>
      <c r="D426" s="11">
        <f>INDEX(paste_TI!$B$2:$G$57,MATCH(MAX($A426,MIN($B426,6)+14),paste_TI!$A$2:$A$57,0),MIN($B426,6))</f>
        <v>1.6049000000000001E-2</v>
      </c>
    </row>
    <row r="427" spans="1:4" ht="15" customHeight="1" x14ac:dyDescent="0.45">
      <c r="A427" s="8">
        <v>57</v>
      </c>
      <c r="B427" s="8">
        <v>6</v>
      </c>
      <c r="C427" s="11">
        <f>INDEX(paste_RI!$B$2:$K$57,MATCH(MAX($A427,$B427+14),paste_RI!$A$2:$A$57,0),$B427)</f>
        <v>3.738E-3</v>
      </c>
      <c r="D427" s="11">
        <f>INDEX(paste_TI!$B$2:$G$57,MATCH(MAX($A427,MIN($B427,6)+14),paste_TI!$A$2:$A$57,0),MIN($B427,6))</f>
        <v>1.4940999999999999E-2</v>
      </c>
    </row>
    <row r="428" spans="1:4" ht="15" customHeight="1" x14ac:dyDescent="0.45">
      <c r="A428" s="8">
        <v>57</v>
      </c>
      <c r="B428" s="8">
        <v>7</v>
      </c>
      <c r="C428" s="11">
        <f>INDEX(paste_RI!$B$2:$K$57,MATCH(MAX($A428,$B428+14),paste_RI!$A$2:$A$57,0),$B428)</f>
        <v>2.7409999999999999E-3</v>
      </c>
      <c r="D428" s="11">
        <f>INDEX(paste_TI!$B$2:$G$57,MATCH(MAX($A428,MIN($B428,6)+14),paste_TI!$A$2:$A$57,0),MIN($B428,6))</f>
        <v>1.4940999999999999E-2</v>
      </c>
    </row>
    <row r="429" spans="1:4" ht="15" customHeight="1" x14ac:dyDescent="0.45">
      <c r="A429" s="8">
        <v>57</v>
      </c>
      <c r="B429" s="8">
        <v>8</v>
      </c>
      <c r="C429" s="11">
        <f>INDEX(paste_RI!$B$2:$K$57,MATCH(MAX($A429,$B429+14),paste_RI!$A$2:$A$57,0),$B429)</f>
        <v>2.7409999999999999E-3</v>
      </c>
      <c r="D429" s="11">
        <f>INDEX(paste_TI!$B$2:$G$57,MATCH(MAX($A429,MIN($B429,6)+14),paste_TI!$A$2:$A$57,0),MIN($B429,6))</f>
        <v>1.4940999999999999E-2</v>
      </c>
    </row>
    <row r="430" spans="1:4" ht="15" customHeight="1" x14ac:dyDescent="0.45">
      <c r="A430" s="8">
        <v>57</v>
      </c>
      <c r="B430" s="8">
        <v>9</v>
      </c>
      <c r="C430" s="11">
        <f>INDEX(paste_RI!$B$2:$K$57,MATCH(MAX($A430,$B430+14),paste_RI!$A$2:$A$57,0),$B430)</f>
        <v>1.6770000000000001E-3</v>
      </c>
      <c r="D430" s="11">
        <f>INDEX(paste_TI!$B$2:$G$57,MATCH(MAX($A430,MIN($B430,6)+14),paste_TI!$A$2:$A$57,0),MIN($B430,6))</f>
        <v>1.4940999999999999E-2</v>
      </c>
    </row>
    <row r="431" spans="1:4" ht="15" customHeight="1" x14ac:dyDescent="0.45">
      <c r="A431" s="8">
        <v>57</v>
      </c>
      <c r="B431" s="8">
        <v>10</v>
      </c>
      <c r="C431" s="11">
        <f>INDEX(paste_RI!$B$2:$K$57,MATCH(MAX($A431,$B431+14),paste_RI!$A$2:$A$57,0),$B431)</f>
        <v>1.5889999999999999E-3</v>
      </c>
      <c r="D431" s="11">
        <f>INDEX(paste_TI!$B$2:$G$57,MATCH(MAX($A431,MIN($B431,6)+14),paste_TI!$A$2:$A$57,0),MIN($B431,6))</f>
        <v>1.4940999999999999E-2</v>
      </c>
    </row>
    <row r="432" spans="1:4" ht="15" customHeight="1" x14ac:dyDescent="0.45">
      <c r="A432" s="8">
        <v>58</v>
      </c>
      <c r="B432" s="8">
        <v>1</v>
      </c>
      <c r="C432" s="11">
        <f>INDEX(paste_RI!$B$2:$K$57,MATCH(MAX($A432,$B432+14),paste_RI!$A$2:$A$57,0),$B432)</f>
        <v>3.2912999999999998E-2</v>
      </c>
      <c r="D432" s="11">
        <f>INDEX(paste_TI!$B$2:$G$57,MATCH(MAX($A432,MIN($B432,6)+14),paste_TI!$A$2:$A$57,0),MIN($B432,6))</f>
        <v>4.0842000000000003E-2</v>
      </c>
    </row>
    <row r="433" spans="1:4" ht="15" customHeight="1" x14ac:dyDescent="0.45">
      <c r="A433" s="8">
        <v>58</v>
      </c>
      <c r="B433" s="8">
        <v>2</v>
      </c>
      <c r="C433" s="11">
        <f>INDEX(paste_RI!$B$2:$K$57,MATCH(MAX($A433,$B433+14),paste_RI!$A$2:$A$57,0),$B433)</f>
        <v>2.2915000000000001E-2</v>
      </c>
      <c r="D433" s="11">
        <f>INDEX(paste_TI!$B$2:$G$57,MATCH(MAX($A433,MIN($B433,6)+14),paste_TI!$A$2:$A$57,0),MIN($B433,6))</f>
        <v>4.3457999999999997E-2</v>
      </c>
    </row>
    <row r="434" spans="1:4" ht="15" customHeight="1" x14ac:dyDescent="0.45">
      <c r="A434" s="8">
        <v>58</v>
      </c>
      <c r="B434" s="8">
        <v>3</v>
      </c>
      <c r="C434" s="11">
        <f>INDEX(paste_RI!$B$2:$K$57,MATCH(MAX($A434,$B434+14),paste_RI!$A$2:$A$57,0),$B434)</f>
        <v>7.267E-3</v>
      </c>
      <c r="D434" s="11">
        <f>INDEX(paste_TI!$B$2:$G$57,MATCH(MAX($A434,MIN($B434,6)+14),paste_TI!$A$2:$A$57,0),MIN($B434,6))</f>
        <v>3.0182E-2</v>
      </c>
    </row>
    <row r="435" spans="1:4" ht="15" customHeight="1" x14ac:dyDescent="0.45">
      <c r="A435" s="8">
        <v>58</v>
      </c>
      <c r="B435" s="8">
        <v>4</v>
      </c>
      <c r="C435" s="11">
        <f>INDEX(paste_RI!$B$2:$K$57,MATCH(MAX($A435,$B435+14),paste_RI!$A$2:$A$57,0),$B435)</f>
        <v>3.4940000000000001E-3</v>
      </c>
      <c r="D435" s="11">
        <f>INDEX(paste_TI!$B$2:$G$57,MATCH(MAX($A435,MIN($B435,6)+14),paste_TI!$A$2:$A$57,0),MIN($B435,6))</f>
        <v>2.3481999999999999E-2</v>
      </c>
    </row>
    <row r="436" spans="1:4" ht="15" customHeight="1" x14ac:dyDescent="0.45">
      <c r="A436" s="8">
        <v>58</v>
      </c>
      <c r="B436" s="8">
        <v>5</v>
      </c>
      <c r="C436" s="11">
        <f>INDEX(paste_RI!$B$2:$K$57,MATCH(MAX($A436,$B436+14),paste_RI!$A$2:$A$57,0),$B436)</f>
        <v>2.8540000000000002E-3</v>
      </c>
      <c r="D436" s="11">
        <f>INDEX(paste_TI!$B$2:$G$57,MATCH(MAX($A436,MIN($B436,6)+14),paste_TI!$A$2:$A$57,0),MIN($B436,6))</f>
        <v>1.668E-2</v>
      </c>
    </row>
    <row r="437" spans="1:4" ht="15" customHeight="1" x14ac:dyDescent="0.45">
      <c r="A437" s="8">
        <v>58</v>
      </c>
      <c r="B437" s="8">
        <v>6</v>
      </c>
      <c r="C437" s="11">
        <f>INDEX(paste_RI!$B$2:$K$57,MATCH(MAX($A437,$B437+14),paste_RI!$A$2:$A$57,0),$B437)</f>
        <v>2.8540000000000002E-3</v>
      </c>
      <c r="D437" s="11">
        <f>INDEX(paste_TI!$B$2:$G$57,MATCH(MAX($A437,MIN($B437,6)+14),paste_TI!$A$2:$A$57,0),MIN($B437,6))</f>
        <v>1.6001000000000001E-2</v>
      </c>
    </row>
    <row r="438" spans="1:4" ht="15" customHeight="1" x14ac:dyDescent="0.45">
      <c r="A438" s="8">
        <v>58</v>
      </c>
      <c r="B438" s="8">
        <v>7</v>
      </c>
      <c r="C438" s="11">
        <f>INDEX(paste_RI!$B$2:$K$57,MATCH(MAX($A438,$B438+14),paste_RI!$A$2:$A$57,0),$B438)</f>
        <v>2.1080000000000001E-3</v>
      </c>
      <c r="D438" s="11">
        <f>INDEX(paste_TI!$B$2:$G$57,MATCH(MAX($A438,MIN($B438,6)+14),paste_TI!$A$2:$A$57,0),MIN($B438,6))</f>
        <v>1.6001000000000001E-2</v>
      </c>
    </row>
    <row r="439" spans="1:4" ht="15" customHeight="1" x14ac:dyDescent="0.45">
      <c r="A439" s="8">
        <v>58</v>
      </c>
      <c r="B439" s="8">
        <v>8</v>
      </c>
      <c r="C439" s="11">
        <f>INDEX(paste_RI!$B$2:$K$57,MATCH(MAX($A439,$B439+14),paste_RI!$A$2:$A$57,0),$B439)</f>
        <v>2.1080000000000001E-3</v>
      </c>
      <c r="D439" s="11">
        <f>INDEX(paste_TI!$B$2:$G$57,MATCH(MAX($A439,MIN($B439,6)+14),paste_TI!$A$2:$A$57,0),MIN($B439,6))</f>
        <v>1.6001000000000001E-2</v>
      </c>
    </row>
    <row r="440" spans="1:4" ht="15" customHeight="1" x14ac:dyDescent="0.45">
      <c r="A440" s="8">
        <v>58</v>
      </c>
      <c r="B440" s="8">
        <v>9</v>
      </c>
      <c r="C440" s="11">
        <f>INDEX(paste_RI!$B$2:$K$57,MATCH(MAX($A440,$B440+14),paste_RI!$A$2:$A$57,0),$B440)</f>
        <v>1.428E-3</v>
      </c>
      <c r="D440" s="11">
        <f>INDEX(paste_TI!$B$2:$G$57,MATCH(MAX($A440,MIN($B440,6)+14),paste_TI!$A$2:$A$57,0),MIN($B440,6))</f>
        <v>1.6001000000000001E-2</v>
      </c>
    </row>
    <row r="441" spans="1:4" ht="15" customHeight="1" x14ac:dyDescent="0.45">
      <c r="A441" s="8">
        <v>58</v>
      </c>
      <c r="B441" s="8">
        <v>10</v>
      </c>
      <c r="C441" s="11">
        <f>INDEX(paste_RI!$B$2:$K$57,MATCH(MAX($A441,$B441+14),paste_RI!$A$2:$A$57,0),$B441)</f>
        <v>1.41E-3</v>
      </c>
      <c r="D441" s="11">
        <f>INDEX(paste_TI!$B$2:$G$57,MATCH(MAX($A441,MIN($B441,6)+14),paste_TI!$A$2:$A$57,0),MIN($B441,6))</f>
        <v>1.6001000000000001E-2</v>
      </c>
    </row>
    <row r="442" spans="1:4" ht="15" customHeight="1" x14ac:dyDescent="0.45">
      <c r="A442" s="8">
        <v>59</v>
      </c>
      <c r="B442" s="8">
        <v>1</v>
      </c>
      <c r="C442" s="11">
        <f>INDEX(paste_RI!$B$2:$K$57,MATCH(MAX($A442,$B442+14),paste_RI!$A$2:$A$57,0),$B442)</f>
        <v>2.7297999999999999E-2</v>
      </c>
      <c r="D442" s="11">
        <f>INDEX(paste_TI!$B$2:$G$57,MATCH(MAX($A442,MIN($B442,6)+14),paste_TI!$A$2:$A$57,0),MIN($B442,6))</f>
        <v>4.2115E-2</v>
      </c>
    </row>
    <row r="443" spans="1:4" ht="15" customHeight="1" x14ac:dyDescent="0.45">
      <c r="A443" s="8">
        <v>59</v>
      </c>
      <c r="B443" s="8">
        <v>2</v>
      </c>
      <c r="C443" s="11">
        <f>INDEX(paste_RI!$B$2:$K$57,MATCH(MAX($A443,$B443+14),paste_RI!$A$2:$A$57,0),$B443)</f>
        <v>1.7048000000000001E-2</v>
      </c>
      <c r="D443" s="11">
        <f>INDEX(paste_TI!$B$2:$G$57,MATCH(MAX($A443,MIN($B443,6)+14),paste_TI!$A$2:$A$57,0),MIN($B443,6))</f>
        <v>4.4485999999999998E-2</v>
      </c>
    </row>
    <row r="444" spans="1:4" ht="15" customHeight="1" x14ac:dyDescent="0.45">
      <c r="A444" s="8">
        <v>59</v>
      </c>
      <c r="B444" s="8">
        <v>3</v>
      </c>
      <c r="C444" s="11">
        <f>INDEX(paste_RI!$B$2:$K$57,MATCH(MAX($A444,$B444+14),paste_RI!$A$2:$A$57,0),$B444)</f>
        <v>4.535E-3</v>
      </c>
      <c r="D444" s="11">
        <f>INDEX(paste_TI!$B$2:$G$57,MATCH(MAX($A444,MIN($B444,6)+14),paste_TI!$A$2:$A$57,0),MIN($B444,6))</f>
        <v>3.1028E-2</v>
      </c>
    </row>
    <row r="445" spans="1:4" ht="15" customHeight="1" x14ac:dyDescent="0.45">
      <c r="A445" s="8">
        <v>59</v>
      </c>
      <c r="B445" s="8">
        <v>4</v>
      </c>
      <c r="C445" s="11">
        <f>INDEX(paste_RI!$B$2:$K$57,MATCH(MAX($A445,$B445+14),paste_RI!$A$2:$A$57,0),$B445)</f>
        <v>1.9220000000000001E-3</v>
      </c>
      <c r="D445" s="11">
        <f>INDEX(paste_TI!$B$2:$G$57,MATCH(MAX($A445,MIN($B445,6)+14),paste_TI!$A$2:$A$57,0),MIN($B445,6))</f>
        <v>2.4445999999999999E-2</v>
      </c>
    </row>
    <row r="446" spans="1:4" ht="15" customHeight="1" x14ac:dyDescent="0.45">
      <c r="A446" s="8">
        <v>59</v>
      </c>
      <c r="B446" s="8">
        <v>5</v>
      </c>
      <c r="C446" s="11">
        <f>INDEX(paste_RI!$B$2:$K$57,MATCH(MAX($A446,$B446+14),paste_RI!$A$2:$A$57,0),$B446)</f>
        <v>1.9220000000000001E-3</v>
      </c>
      <c r="D446" s="11">
        <f>INDEX(paste_TI!$B$2:$G$57,MATCH(MAX($A446,MIN($B446,6)+14),paste_TI!$A$2:$A$57,0),MIN($B446,6))</f>
        <v>1.7311E-2</v>
      </c>
    </row>
    <row r="447" spans="1:4" ht="15" customHeight="1" x14ac:dyDescent="0.45">
      <c r="A447" s="8">
        <v>59</v>
      </c>
      <c r="B447" s="8">
        <v>6</v>
      </c>
      <c r="C447" s="11">
        <f>INDEX(paste_RI!$B$2:$K$57,MATCH(MAX($A447,$B447+14),paste_RI!$A$2:$A$57,0),$B447)</f>
        <v>1.9220000000000001E-3</v>
      </c>
      <c r="D447" s="11">
        <f>INDEX(paste_TI!$B$2:$G$57,MATCH(MAX($A447,MIN($B447,6)+14),paste_TI!$A$2:$A$57,0),MIN($B447,6))</f>
        <v>1.7073000000000001E-2</v>
      </c>
    </row>
    <row r="448" spans="1:4" ht="15" customHeight="1" x14ac:dyDescent="0.45">
      <c r="A448" s="8">
        <v>59</v>
      </c>
      <c r="B448" s="8">
        <v>7</v>
      </c>
      <c r="C448" s="11">
        <f>INDEX(paste_RI!$B$2:$K$57,MATCH(MAX($A448,$B448+14),paste_RI!$A$2:$A$57,0),$B448)</f>
        <v>1.542E-3</v>
      </c>
      <c r="D448" s="11">
        <f>INDEX(paste_TI!$B$2:$G$57,MATCH(MAX($A448,MIN($B448,6)+14),paste_TI!$A$2:$A$57,0),MIN($B448,6))</f>
        <v>1.7073000000000001E-2</v>
      </c>
    </row>
    <row r="449" spans="1:4" ht="15" customHeight="1" x14ac:dyDescent="0.45">
      <c r="A449" s="8">
        <v>59</v>
      </c>
      <c r="B449" s="8">
        <v>8</v>
      </c>
      <c r="C449" s="11">
        <f>INDEX(paste_RI!$B$2:$K$57,MATCH(MAX($A449,$B449+14),paste_RI!$A$2:$A$57,0),$B449)</f>
        <v>1.542E-3</v>
      </c>
      <c r="D449" s="11">
        <f>INDEX(paste_TI!$B$2:$G$57,MATCH(MAX($A449,MIN($B449,6)+14),paste_TI!$A$2:$A$57,0),MIN($B449,6))</f>
        <v>1.7073000000000001E-2</v>
      </c>
    </row>
    <row r="450" spans="1:4" ht="15" customHeight="1" x14ac:dyDescent="0.45">
      <c r="A450" s="8">
        <v>59</v>
      </c>
      <c r="B450" s="8">
        <v>9</v>
      </c>
      <c r="C450" s="11">
        <f>INDEX(paste_RI!$B$2:$K$57,MATCH(MAX($A450,$B450+14),paste_RI!$A$2:$A$57,0),$B450)</f>
        <v>1.2359999999999999E-3</v>
      </c>
      <c r="D450" s="11">
        <f>INDEX(paste_TI!$B$2:$G$57,MATCH(MAX($A450,MIN($B450,6)+14),paste_TI!$A$2:$A$57,0),MIN($B450,6))</f>
        <v>1.7073000000000001E-2</v>
      </c>
    </row>
    <row r="451" spans="1:4" ht="15" customHeight="1" x14ac:dyDescent="0.45">
      <c r="A451" s="8">
        <v>59</v>
      </c>
      <c r="B451" s="8">
        <v>10</v>
      </c>
      <c r="C451" s="11">
        <f>INDEX(paste_RI!$B$2:$K$57,MATCH(MAX($A451,$B451+14),paste_RI!$A$2:$A$57,0),$B451)</f>
        <v>1.2359999999999999E-3</v>
      </c>
      <c r="D451" s="11">
        <f>INDEX(paste_TI!$B$2:$G$57,MATCH(MAX($A451,MIN($B451,6)+14),paste_TI!$A$2:$A$57,0),MIN($B451,6))</f>
        <v>1.7073000000000001E-2</v>
      </c>
    </row>
    <row r="452" spans="1:4" ht="15" customHeight="1" x14ac:dyDescent="0.45">
      <c r="A452" s="8">
        <v>60</v>
      </c>
      <c r="B452" s="8">
        <v>1</v>
      </c>
      <c r="C452" s="11">
        <f>INDEX(paste_RI!$B$2:$K$57,MATCH(MAX($A452,$B452+14),paste_RI!$A$2:$A$57,0),$B452)</f>
        <v>2.2773999999999999E-2</v>
      </c>
      <c r="D452" s="11">
        <f>INDEX(paste_TI!$B$2:$G$57,MATCH(MAX($A452,MIN($B452,6)+14),paste_TI!$A$2:$A$57,0),MIN($B452,6))</f>
        <v>4.3383999999999999E-2</v>
      </c>
    </row>
    <row r="453" spans="1:4" ht="15" customHeight="1" x14ac:dyDescent="0.45">
      <c r="A453" s="8">
        <v>60</v>
      </c>
      <c r="B453" s="8">
        <v>2</v>
      </c>
      <c r="C453" s="11">
        <f>INDEX(paste_RI!$B$2:$K$57,MATCH(MAX($A453,$B453+14),paste_RI!$A$2:$A$57,0),$B453)</f>
        <v>1.2961E-2</v>
      </c>
      <c r="D453" s="11">
        <f>INDEX(paste_TI!$B$2:$G$57,MATCH(MAX($A453,MIN($B453,6)+14),paste_TI!$A$2:$A$57,0),MIN($B453,6))</f>
        <v>4.5512999999999998E-2</v>
      </c>
    </row>
    <row r="454" spans="1:4" ht="15" customHeight="1" x14ac:dyDescent="0.45">
      <c r="A454" s="8">
        <v>60</v>
      </c>
      <c r="B454" s="8">
        <v>3</v>
      </c>
      <c r="C454" s="11">
        <f>INDEX(paste_RI!$B$2:$K$57,MATCH(MAX($A454,$B454+14),paste_RI!$A$2:$A$57,0),$B454)</f>
        <v>3.114E-3</v>
      </c>
      <c r="D454" s="11">
        <f>INDEX(paste_TI!$B$2:$G$57,MATCH(MAX($A454,MIN($B454,6)+14),paste_TI!$A$2:$A$57,0),MIN($B454,6))</f>
        <v>3.1877000000000003E-2</v>
      </c>
    </row>
    <row r="455" spans="1:4" ht="15" customHeight="1" x14ac:dyDescent="0.45">
      <c r="A455" s="8">
        <v>60</v>
      </c>
      <c r="B455" s="8">
        <v>4</v>
      </c>
      <c r="C455" s="11">
        <f>INDEX(paste_RI!$B$2:$K$57,MATCH(MAX($A455,$B455+14),paste_RI!$A$2:$A$57,0),$B455)</f>
        <v>1.2459999999999999E-3</v>
      </c>
      <c r="D455" s="11">
        <f>INDEX(paste_TI!$B$2:$G$57,MATCH(MAX($A455,MIN($B455,6)+14),paste_TI!$A$2:$A$57,0),MIN($B455,6))</f>
        <v>2.5408E-2</v>
      </c>
    </row>
    <row r="456" spans="1:4" ht="15" customHeight="1" x14ac:dyDescent="0.45">
      <c r="A456" s="8">
        <v>60</v>
      </c>
      <c r="B456" s="8">
        <v>5</v>
      </c>
      <c r="C456" s="11">
        <f>INDEX(paste_RI!$B$2:$K$57,MATCH(MAX($A456,$B456+14),paste_RI!$A$2:$A$57,0),$B456)</f>
        <v>1.2459999999999999E-3</v>
      </c>
      <c r="D456" s="11">
        <f>INDEX(paste_TI!$B$2:$G$57,MATCH(MAX($A456,MIN($B456,6)+14),paste_TI!$A$2:$A$57,0),MIN($B456,6))</f>
        <v>1.7942E-2</v>
      </c>
    </row>
    <row r="457" spans="1:4" ht="15" customHeight="1" x14ac:dyDescent="0.45">
      <c r="A457" s="8">
        <v>60</v>
      </c>
      <c r="B457" s="8">
        <v>6</v>
      </c>
      <c r="C457" s="11">
        <f>INDEX(paste_RI!$B$2:$K$57,MATCH(MAX($A457,$B457+14),paste_RI!$A$2:$A$57,0),$B457)</f>
        <v>1.2459999999999999E-3</v>
      </c>
      <c r="D457" s="11">
        <f>INDEX(paste_TI!$B$2:$G$57,MATCH(MAX($A457,MIN($B457,6)+14),paste_TI!$A$2:$A$57,0),MIN($B457,6))</f>
        <v>1.7942E-2</v>
      </c>
    </row>
    <row r="458" spans="1:4" ht="15" customHeight="1" x14ac:dyDescent="0.45">
      <c r="A458" s="8">
        <v>60</v>
      </c>
      <c r="B458" s="8">
        <v>7</v>
      </c>
      <c r="C458" s="11">
        <f>INDEX(paste_RI!$B$2:$K$57,MATCH(MAX($A458,$B458+14),paste_RI!$A$2:$A$57,0),$B458)</f>
        <v>1.1379999999999999E-3</v>
      </c>
      <c r="D458" s="11">
        <f>INDEX(paste_TI!$B$2:$G$57,MATCH(MAX($A458,MIN($B458,6)+14),paste_TI!$A$2:$A$57,0),MIN($B458,6))</f>
        <v>1.7942E-2</v>
      </c>
    </row>
    <row r="459" spans="1:4" ht="15" customHeight="1" x14ac:dyDescent="0.45">
      <c r="A459" s="8">
        <v>60</v>
      </c>
      <c r="B459" s="8">
        <v>8</v>
      </c>
      <c r="C459" s="11">
        <f>INDEX(paste_RI!$B$2:$K$57,MATCH(MAX($A459,$B459+14),paste_RI!$A$2:$A$57,0),$B459)</f>
        <v>1.1379999999999999E-3</v>
      </c>
      <c r="D459" s="11">
        <f>INDEX(paste_TI!$B$2:$G$57,MATCH(MAX($A459,MIN($B459,6)+14),paste_TI!$A$2:$A$57,0),MIN($B459,6))</f>
        <v>1.7942E-2</v>
      </c>
    </row>
    <row r="460" spans="1:4" ht="15" customHeight="1" x14ac:dyDescent="0.45">
      <c r="A460" s="8">
        <v>60</v>
      </c>
      <c r="B460" s="8">
        <v>9</v>
      </c>
      <c r="C460" s="11">
        <f>INDEX(paste_RI!$B$2:$K$57,MATCH(MAX($A460,$B460+14),paste_RI!$A$2:$A$57,0),$B460)</f>
        <v>1.1379999999999999E-3</v>
      </c>
      <c r="D460" s="11">
        <f>INDEX(paste_TI!$B$2:$G$57,MATCH(MAX($A460,MIN($B460,6)+14),paste_TI!$A$2:$A$57,0),MIN($B460,6))</f>
        <v>1.7942E-2</v>
      </c>
    </row>
    <row r="461" spans="1:4" ht="15" customHeight="1" x14ac:dyDescent="0.45">
      <c r="A461" s="8">
        <v>60</v>
      </c>
      <c r="B461" s="8">
        <v>10</v>
      </c>
      <c r="C461" s="11">
        <f>INDEX(paste_RI!$B$2:$K$57,MATCH(MAX($A461,$B461+14),paste_RI!$A$2:$A$57,0),$B461)</f>
        <v>1.1379999999999999E-3</v>
      </c>
      <c r="D461" s="11">
        <f>INDEX(paste_TI!$B$2:$G$57,MATCH(MAX($A461,MIN($B461,6)+14),paste_TI!$A$2:$A$57,0),MIN($B461,6))</f>
        <v>1.7942E-2</v>
      </c>
    </row>
    <row r="462" spans="1:4" ht="15" customHeight="1" x14ac:dyDescent="0.45">
      <c r="A462" s="8">
        <v>61</v>
      </c>
      <c r="B462" s="8">
        <v>1</v>
      </c>
      <c r="C462" s="11">
        <f>INDEX(paste_RI!$B$2:$K$57,MATCH(MAX($A462,$B462+14),paste_RI!$A$2:$A$57,0),$B462)</f>
        <v>1.8543E-2</v>
      </c>
      <c r="D462" s="11">
        <f>INDEX(paste_TI!$B$2:$G$57,MATCH(MAX($A462,MIN($B462,6)+14),paste_TI!$A$2:$A$57,0),MIN($B462,6))</f>
        <v>4.4638999999999998E-2</v>
      </c>
    </row>
    <row r="463" spans="1:4" ht="15" customHeight="1" x14ac:dyDescent="0.45">
      <c r="A463" s="8">
        <v>61</v>
      </c>
      <c r="B463" s="8">
        <v>2</v>
      </c>
      <c r="C463" s="11">
        <f>INDEX(paste_RI!$B$2:$K$57,MATCH(MAX($A463,$B463+14),paste_RI!$A$2:$A$57,0),$B463)</f>
        <v>9.3539999999999995E-3</v>
      </c>
      <c r="D463" s="11">
        <f>INDEX(paste_TI!$B$2:$G$57,MATCH(MAX($A463,MIN($B463,6)+14),paste_TI!$A$2:$A$57,0),MIN($B463,6))</f>
        <v>4.6528E-2</v>
      </c>
    </row>
    <row r="464" spans="1:4" ht="15" customHeight="1" x14ac:dyDescent="0.45">
      <c r="A464" s="8">
        <v>61</v>
      </c>
      <c r="B464" s="8">
        <v>3</v>
      </c>
      <c r="C464" s="11">
        <f>INDEX(paste_RI!$B$2:$K$57,MATCH(MAX($A464,$B464+14),paste_RI!$A$2:$A$57,0),$B464)</f>
        <v>1.897E-3</v>
      </c>
      <c r="D464" s="11">
        <f>INDEX(paste_TI!$B$2:$G$57,MATCH(MAX($A464,MIN($B464,6)+14),paste_TI!$A$2:$A$57,0),MIN($B464,6))</f>
        <v>3.2707E-2</v>
      </c>
    </row>
    <row r="465" spans="1:4" ht="15" customHeight="1" x14ac:dyDescent="0.45">
      <c r="A465" s="8">
        <v>61</v>
      </c>
      <c r="B465" s="8">
        <v>4</v>
      </c>
      <c r="C465" s="11">
        <f>INDEX(paste_RI!$B$2:$K$57,MATCH(MAX($A465,$B465+14),paste_RI!$A$2:$A$57,0),$B465)</f>
        <v>6.8199999999999999E-4</v>
      </c>
      <c r="D465" s="11">
        <f>INDEX(paste_TI!$B$2:$G$57,MATCH(MAX($A465,MIN($B465,6)+14),paste_TI!$A$2:$A$57,0),MIN($B465,6))</f>
        <v>2.6367999999999999E-2</v>
      </c>
    </row>
    <row r="466" spans="1:4" ht="15" customHeight="1" x14ac:dyDescent="0.45">
      <c r="A466" s="8">
        <v>61</v>
      </c>
      <c r="B466" s="8">
        <v>5</v>
      </c>
      <c r="C466" s="11">
        <f>INDEX(paste_RI!$B$2:$K$57,MATCH(MAX($A466,$B466+14),paste_RI!$A$2:$A$57,0),$B466)</f>
        <v>6.8199999999999999E-4</v>
      </c>
      <c r="D466" s="11">
        <f>INDEX(paste_TI!$B$2:$G$57,MATCH(MAX($A466,MIN($B466,6)+14),paste_TI!$A$2:$A$57,0),MIN($B466,6))</f>
        <v>1.8873000000000001E-2</v>
      </c>
    </row>
    <row r="467" spans="1:4" ht="15" customHeight="1" x14ac:dyDescent="0.45">
      <c r="A467" s="8">
        <v>61</v>
      </c>
      <c r="B467" s="8">
        <v>6</v>
      </c>
      <c r="C467" s="11">
        <f>INDEX(paste_RI!$B$2:$K$57,MATCH(MAX($A467,$B467+14),paste_RI!$A$2:$A$57,0),$B467)</f>
        <v>6.8199999999999999E-4</v>
      </c>
      <c r="D467" s="11">
        <f>INDEX(paste_TI!$B$2:$G$57,MATCH(MAX($A467,MIN($B467,6)+14),paste_TI!$A$2:$A$57,0),MIN($B467,6))</f>
        <v>1.8873000000000001E-2</v>
      </c>
    </row>
    <row r="468" spans="1:4" ht="15" customHeight="1" x14ac:dyDescent="0.45">
      <c r="A468" s="8">
        <v>61</v>
      </c>
      <c r="B468" s="8">
        <v>7</v>
      </c>
      <c r="C468" s="11">
        <f>INDEX(paste_RI!$B$2:$K$57,MATCH(MAX($A468,$B468+14),paste_RI!$A$2:$A$57,0),$B468)</f>
        <v>6.8199999999999999E-4</v>
      </c>
      <c r="D468" s="11">
        <f>INDEX(paste_TI!$B$2:$G$57,MATCH(MAX($A468,MIN($B468,6)+14),paste_TI!$A$2:$A$57,0),MIN($B468,6))</f>
        <v>1.8873000000000001E-2</v>
      </c>
    </row>
    <row r="469" spans="1:4" ht="15" customHeight="1" x14ac:dyDescent="0.45">
      <c r="A469" s="8">
        <v>61</v>
      </c>
      <c r="B469" s="8">
        <v>8</v>
      </c>
      <c r="C469" s="11">
        <f>INDEX(paste_RI!$B$2:$K$57,MATCH(MAX($A469,$B469+14),paste_RI!$A$2:$A$57,0),$B469)</f>
        <v>6.8199999999999999E-4</v>
      </c>
      <c r="D469" s="11">
        <f>INDEX(paste_TI!$B$2:$G$57,MATCH(MAX($A469,MIN($B469,6)+14),paste_TI!$A$2:$A$57,0),MIN($B469,6))</f>
        <v>1.8873000000000001E-2</v>
      </c>
    </row>
    <row r="470" spans="1:4" ht="15" customHeight="1" x14ac:dyDescent="0.45">
      <c r="A470" s="8">
        <v>61</v>
      </c>
      <c r="B470" s="8">
        <v>9</v>
      </c>
      <c r="C470" s="11">
        <f>INDEX(paste_RI!$B$2:$K$57,MATCH(MAX($A470,$B470+14),paste_RI!$A$2:$A$57,0),$B470)</f>
        <v>6.8199999999999999E-4</v>
      </c>
      <c r="D470" s="11">
        <f>INDEX(paste_TI!$B$2:$G$57,MATCH(MAX($A470,MIN($B470,6)+14),paste_TI!$A$2:$A$57,0),MIN($B470,6))</f>
        <v>1.8873000000000001E-2</v>
      </c>
    </row>
    <row r="471" spans="1:4" ht="15" customHeight="1" x14ac:dyDescent="0.45">
      <c r="A471" s="8">
        <v>61</v>
      </c>
      <c r="B471" s="8">
        <v>10</v>
      </c>
      <c r="C471" s="11">
        <f>INDEX(paste_RI!$B$2:$K$57,MATCH(MAX($A471,$B471+14),paste_RI!$A$2:$A$57,0),$B471)</f>
        <v>6.8199999999999999E-4</v>
      </c>
      <c r="D471" s="11">
        <f>INDEX(paste_TI!$B$2:$G$57,MATCH(MAX($A471,MIN($B471,6)+14),paste_TI!$A$2:$A$57,0),MIN($B471,6))</f>
        <v>1.8873000000000001E-2</v>
      </c>
    </row>
    <row r="472" spans="1:4" ht="15" customHeight="1" x14ac:dyDescent="0.45">
      <c r="A472" s="8">
        <v>62</v>
      </c>
      <c r="B472" s="8">
        <v>1</v>
      </c>
      <c r="C472" s="11">
        <f>INDEX(paste_RI!$B$2:$K$57,MATCH(MAX($A472,$B472+14),paste_RI!$A$2:$A$57,0),$B472)</f>
        <v>1.4851E-2</v>
      </c>
      <c r="D472" s="11">
        <f>INDEX(paste_TI!$B$2:$G$57,MATCH(MAX($A472,MIN($B472,6)+14),paste_TI!$A$2:$A$57,0),MIN($B472,6))</f>
        <v>4.5880999999999998E-2</v>
      </c>
    </row>
    <row r="473" spans="1:4" ht="15" customHeight="1" x14ac:dyDescent="0.45">
      <c r="A473" s="8">
        <v>62</v>
      </c>
      <c r="B473" s="8">
        <v>2</v>
      </c>
      <c r="C473" s="11">
        <f>INDEX(paste_RI!$B$2:$K$57,MATCH(MAX($A473,$B473+14),paste_RI!$A$2:$A$57,0),$B473)</f>
        <v>6.5389999999999997E-3</v>
      </c>
      <c r="D473" s="11">
        <f>INDEX(paste_TI!$B$2:$G$57,MATCH(MAX($A473,MIN($B473,6)+14),paste_TI!$A$2:$A$57,0),MIN($B473,6))</f>
        <v>4.7536000000000002E-2</v>
      </c>
    </row>
    <row r="474" spans="1:4" ht="15" customHeight="1" x14ac:dyDescent="0.45">
      <c r="A474" s="8">
        <v>62</v>
      </c>
      <c r="B474" s="8">
        <v>3</v>
      </c>
      <c r="C474" s="11">
        <f>INDEX(paste_RI!$B$2:$K$57,MATCH(MAX($A474,$B474+14),paste_RI!$A$2:$A$57,0),$B474)</f>
        <v>1.0920000000000001E-3</v>
      </c>
      <c r="D474" s="11">
        <f>INDEX(paste_TI!$B$2:$G$57,MATCH(MAX($A474,MIN($B474,6)+14),paste_TI!$A$2:$A$57,0),MIN($B474,6))</f>
        <v>3.3529000000000003E-2</v>
      </c>
    </row>
    <row r="475" spans="1:4" ht="15" customHeight="1" x14ac:dyDescent="0.45">
      <c r="A475" s="8">
        <v>62</v>
      </c>
      <c r="B475" s="8">
        <v>4</v>
      </c>
      <c r="C475" s="11">
        <f>INDEX(paste_RI!$B$2:$K$57,MATCH(MAX($A475,$B475+14),paste_RI!$A$2:$A$57,0),$B475)</f>
        <v>3.48E-4</v>
      </c>
      <c r="D475" s="11">
        <f>INDEX(paste_TI!$B$2:$G$57,MATCH(MAX($A475,MIN($B475,6)+14),paste_TI!$A$2:$A$57,0),MIN($B475,6))</f>
        <v>2.7321000000000002E-2</v>
      </c>
    </row>
    <row r="476" spans="1:4" ht="15" customHeight="1" x14ac:dyDescent="0.45">
      <c r="A476" s="8">
        <v>62</v>
      </c>
      <c r="B476" s="8">
        <v>5</v>
      </c>
      <c r="C476" s="11">
        <f>INDEX(paste_RI!$B$2:$K$57,MATCH(MAX($A476,$B476+14),paste_RI!$A$2:$A$57,0),$B476)</f>
        <v>3.48E-4</v>
      </c>
      <c r="D476" s="11">
        <f>INDEX(paste_TI!$B$2:$G$57,MATCH(MAX($A476,MIN($B476,6)+14),paste_TI!$A$2:$A$57,0),MIN($B476,6))</f>
        <v>1.9722E-2</v>
      </c>
    </row>
    <row r="477" spans="1:4" ht="15" customHeight="1" x14ac:dyDescent="0.45">
      <c r="A477" s="8">
        <v>62</v>
      </c>
      <c r="B477" s="8">
        <v>6</v>
      </c>
      <c r="C477" s="11">
        <f>INDEX(paste_RI!$B$2:$K$57,MATCH(MAX($A477,$B477+14),paste_RI!$A$2:$A$57,0),$B477)</f>
        <v>3.48E-4</v>
      </c>
      <c r="D477" s="11">
        <f>INDEX(paste_TI!$B$2:$G$57,MATCH(MAX($A477,MIN($B477,6)+14),paste_TI!$A$2:$A$57,0),MIN($B477,6))</f>
        <v>1.9722E-2</v>
      </c>
    </row>
    <row r="478" spans="1:4" ht="15" customHeight="1" x14ac:dyDescent="0.45">
      <c r="A478" s="8">
        <v>62</v>
      </c>
      <c r="B478" s="8">
        <v>7</v>
      </c>
      <c r="C478" s="11">
        <f>INDEX(paste_RI!$B$2:$K$57,MATCH(MAX($A478,$B478+14),paste_RI!$A$2:$A$57,0),$B478)</f>
        <v>3.48E-4</v>
      </c>
      <c r="D478" s="11">
        <f>INDEX(paste_TI!$B$2:$G$57,MATCH(MAX($A478,MIN($B478,6)+14),paste_TI!$A$2:$A$57,0),MIN($B478,6))</f>
        <v>1.9722E-2</v>
      </c>
    </row>
    <row r="479" spans="1:4" ht="15" customHeight="1" x14ac:dyDescent="0.45">
      <c r="A479" s="8">
        <v>62</v>
      </c>
      <c r="B479" s="8">
        <v>8</v>
      </c>
      <c r="C479" s="11">
        <f>INDEX(paste_RI!$B$2:$K$57,MATCH(MAX($A479,$B479+14),paste_RI!$A$2:$A$57,0),$B479)</f>
        <v>3.48E-4</v>
      </c>
      <c r="D479" s="11">
        <f>INDEX(paste_TI!$B$2:$G$57,MATCH(MAX($A479,MIN($B479,6)+14),paste_TI!$A$2:$A$57,0),MIN($B479,6))</f>
        <v>1.9722E-2</v>
      </c>
    </row>
    <row r="480" spans="1:4" ht="15" customHeight="1" x14ac:dyDescent="0.45">
      <c r="A480" s="8">
        <v>62</v>
      </c>
      <c r="B480" s="8">
        <v>9</v>
      </c>
      <c r="C480" s="11">
        <f>INDEX(paste_RI!$B$2:$K$57,MATCH(MAX($A480,$B480+14),paste_RI!$A$2:$A$57,0),$B480)</f>
        <v>3.48E-4</v>
      </c>
      <c r="D480" s="11">
        <f>INDEX(paste_TI!$B$2:$G$57,MATCH(MAX($A480,MIN($B480,6)+14),paste_TI!$A$2:$A$57,0),MIN($B480,6))</f>
        <v>1.9722E-2</v>
      </c>
    </row>
    <row r="481" spans="1:4" ht="15" customHeight="1" x14ac:dyDescent="0.45">
      <c r="A481" s="8">
        <v>62</v>
      </c>
      <c r="B481" s="8">
        <v>10</v>
      </c>
      <c r="C481" s="11">
        <f>INDEX(paste_RI!$B$2:$K$57,MATCH(MAX($A481,$B481+14),paste_RI!$A$2:$A$57,0),$B481)</f>
        <v>3.48E-4</v>
      </c>
      <c r="D481" s="11">
        <f>INDEX(paste_TI!$B$2:$G$57,MATCH(MAX($A481,MIN($B481,6)+14),paste_TI!$A$2:$A$57,0),MIN($B481,6))</f>
        <v>1.9722E-2</v>
      </c>
    </row>
    <row r="482" spans="1:4" ht="15" customHeight="1" x14ac:dyDescent="0.45">
      <c r="A482" s="8">
        <v>63</v>
      </c>
      <c r="B482" s="8">
        <v>1</v>
      </c>
      <c r="C482" s="11">
        <f>INDEX(paste_RI!$B$2:$K$57,MATCH(MAX($A482,$B482+14),paste_RI!$A$2:$A$57,0),$B482)</f>
        <v>1.1698999999999999E-2</v>
      </c>
      <c r="D482" s="11">
        <f>INDEX(paste_TI!$B$2:$G$57,MATCH(MAX($A482,MIN($B482,6)+14),paste_TI!$A$2:$A$57,0),MIN($B482,6))</f>
        <v>4.7106000000000002E-2</v>
      </c>
    </row>
    <row r="483" spans="1:4" ht="15" customHeight="1" x14ac:dyDescent="0.45">
      <c r="A483" s="8">
        <v>63</v>
      </c>
      <c r="B483" s="8">
        <v>2</v>
      </c>
      <c r="C483" s="11">
        <f>INDEX(paste_RI!$B$2:$K$57,MATCH(MAX($A483,$B483+14),paste_RI!$A$2:$A$57,0),$B483)</f>
        <v>4.4289999999999998E-3</v>
      </c>
      <c r="D483" s="11">
        <f>INDEX(paste_TI!$B$2:$G$57,MATCH(MAX($A483,MIN($B483,6)+14),paste_TI!$A$2:$A$57,0),MIN($B483,6))</f>
        <v>4.8534000000000001E-2</v>
      </c>
    </row>
    <row r="484" spans="1:4" ht="15" customHeight="1" x14ac:dyDescent="0.45">
      <c r="A484" s="8">
        <v>63</v>
      </c>
      <c r="B484" s="8">
        <v>3</v>
      </c>
      <c r="C484" s="11">
        <f>INDEX(paste_RI!$B$2:$K$57,MATCH(MAX($A484,$B484+14),paste_RI!$A$2:$A$57,0),$B484)</f>
        <v>5.9299999999999999E-4</v>
      </c>
      <c r="D484" s="11">
        <f>INDEX(paste_TI!$B$2:$G$57,MATCH(MAX($A484,MIN($B484,6)+14),paste_TI!$A$2:$A$57,0),MIN($B484,6))</f>
        <v>3.4340000000000002E-2</v>
      </c>
    </row>
    <row r="485" spans="1:4" ht="15" customHeight="1" x14ac:dyDescent="0.45">
      <c r="A485" s="8">
        <v>63</v>
      </c>
      <c r="B485" s="8">
        <v>4</v>
      </c>
      <c r="C485" s="11">
        <f>INDEX(paste_RI!$B$2:$K$57,MATCH(MAX($A485,$B485+14),paste_RI!$A$2:$A$57,0),$B485)</f>
        <v>1.65E-4</v>
      </c>
      <c r="D485" s="11">
        <f>INDEX(paste_TI!$B$2:$G$57,MATCH(MAX($A485,MIN($B485,6)+14),paste_TI!$A$2:$A$57,0),MIN($B485,6))</f>
        <v>2.8263E-2</v>
      </c>
    </row>
    <row r="486" spans="1:4" ht="15" customHeight="1" x14ac:dyDescent="0.45">
      <c r="A486" s="8">
        <v>63</v>
      </c>
      <c r="B486" s="8">
        <v>5</v>
      </c>
      <c r="C486" s="11">
        <f>INDEX(paste_RI!$B$2:$K$57,MATCH(MAX($A486,$B486+14),paste_RI!$A$2:$A$57,0),$B486)</f>
        <v>1.65E-4</v>
      </c>
      <c r="D486" s="11">
        <f>INDEX(paste_TI!$B$2:$G$57,MATCH(MAX($A486,MIN($B486,6)+14),paste_TI!$A$2:$A$57,0),MIN($B486,6))</f>
        <v>2.0508999999999999E-2</v>
      </c>
    </row>
    <row r="487" spans="1:4" ht="15" customHeight="1" x14ac:dyDescent="0.45">
      <c r="A487" s="8">
        <v>63</v>
      </c>
      <c r="B487" s="8">
        <v>6</v>
      </c>
      <c r="C487" s="11">
        <f>INDEX(paste_RI!$B$2:$K$57,MATCH(MAX($A487,$B487+14),paste_RI!$A$2:$A$57,0),$B487)</f>
        <v>1.65E-4</v>
      </c>
      <c r="D487" s="11">
        <f>INDEX(paste_TI!$B$2:$G$57,MATCH(MAX($A487,MIN($B487,6)+14),paste_TI!$A$2:$A$57,0),MIN($B487,6))</f>
        <v>2.0508999999999999E-2</v>
      </c>
    </row>
    <row r="488" spans="1:4" ht="15" customHeight="1" x14ac:dyDescent="0.45">
      <c r="A488" s="8">
        <v>63</v>
      </c>
      <c r="B488" s="8">
        <v>7</v>
      </c>
      <c r="C488" s="11">
        <f>INDEX(paste_RI!$B$2:$K$57,MATCH(MAX($A488,$B488+14),paste_RI!$A$2:$A$57,0),$B488)</f>
        <v>1.65E-4</v>
      </c>
      <c r="D488" s="11">
        <f>INDEX(paste_TI!$B$2:$G$57,MATCH(MAX($A488,MIN($B488,6)+14),paste_TI!$A$2:$A$57,0),MIN($B488,6))</f>
        <v>2.0508999999999999E-2</v>
      </c>
    </row>
    <row r="489" spans="1:4" ht="15" customHeight="1" x14ac:dyDescent="0.45">
      <c r="A489" s="8">
        <v>63</v>
      </c>
      <c r="B489" s="8">
        <v>8</v>
      </c>
      <c r="C489" s="11">
        <f>INDEX(paste_RI!$B$2:$K$57,MATCH(MAX($A489,$B489+14),paste_RI!$A$2:$A$57,0),$B489)</f>
        <v>1.65E-4</v>
      </c>
      <c r="D489" s="11">
        <f>INDEX(paste_TI!$B$2:$G$57,MATCH(MAX($A489,MIN($B489,6)+14),paste_TI!$A$2:$A$57,0),MIN($B489,6))</f>
        <v>2.0508999999999999E-2</v>
      </c>
    </row>
    <row r="490" spans="1:4" ht="15" customHeight="1" x14ac:dyDescent="0.45">
      <c r="A490" s="8">
        <v>63</v>
      </c>
      <c r="B490" s="8">
        <v>9</v>
      </c>
      <c r="C490" s="11">
        <f>INDEX(paste_RI!$B$2:$K$57,MATCH(MAX($A490,$B490+14),paste_RI!$A$2:$A$57,0),$B490)</f>
        <v>1.65E-4</v>
      </c>
      <c r="D490" s="11">
        <f>INDEX(paste_TI!$B$2:$G$57,MATCH(MAX($A490,MIN($B490,6)+14),paste_TI!$A$2:$A$57,0),MIN($B490,6))</f>
        <v>2.0508999999999999E-2</v>
      </c>
    </row>
    <row r="491" spans="1:4" ht="15" customHeight="1" x14ac:dyDescent="0.45">
      <c r="A491" s="8">
        <v>63</v>
      </c>
      <c r="B491" s="8">
        <v>10</v>
      </c>
      <c r="C491" s="11">
        <f>INDEX(paste_RI!$B$2:$K$57,MATCH(MAX($A491,$B491+14),paste_RI!$A$2:$A$57,0),$B491)</f>
        <v>1.65E-4</v>
      </c>
      <c r="D491" s="11">
        <f>INDEX(paste_TI!$B$2:$G$57,MATCH(MAX($A491,MIN($B491,6)+14),paste_TI!$A$2:$A$57,0),MIN($B491,6))</f>
        <v>2.0508999999999999E-2</v>
      </c>
    </row>
    <row r="492" spans="1:4" ht="15" customHeight="1" x14ac:dyDescent="0.45">
      <c r="A492" s="8">
        <v>64</v>
      </c>
      <c r="B492" s="8">
        <v>1</v>
      </c>
      <c r="C492" s="11">
        <f>INDEX(paste_RI!$B$2:$K$57,MATCH(MAX($A492,$B492+14),paste_RI!$A$2:$A$57,0),$B492)</f>
        <v>9.0650000000000001E-3</v>
      </c>
      <c r="D492" s="11">
        <f>INDEX(paste_TI!$B$2:$G$57,MATCH(MAX($A492,MIN($B492,6)+14),paste_TI!$A$2:$A$57,0),MIN($B492,6))</f>
        <v>4.8312000000000001E-2</v>
      </c>
    </row>
    <row r="493" spans="1:4" ht="15" customHeight="1" x14ac:dyDescent="0.45">
      <c r="A493" s="8">
        <v>64</v>
      </c>
      <c r="B493" s="8">
        <v>2</v>
      </c>
      <c r="C493" s="11">
        <f>INDEX(paste_RI!$B$2:$K$57,MATCH(MAX($A493,$B493+14),paste_RI!$A$2:$A$57,0),$B493)</f>
        <v>2.905E-3</v>
      </c>
      <c r="D493" s="11">
        <f>INDEX(paste_TI!$B$2:$G$57,MATCH(MAX($A493,MIN($B493,6)+14),paste_TI!$A$2:$A$57,0),MIN($B493,6))</f>
        <v>4.9520000000000002E-2</v>
      </c>
    </row>
    <row r="494" spans="1:4" ht="15" customHeight="1" x14ac:dyDescent="0.45">
      <c r="A494" s="8">
        <v>64</v>
      </c>
      <c r="B494" s="8">
        <v>3</v>
      </c>
      <c r="C494" s="11">
        <f>INDEX(paste_RI!$B$2:$K$57,MATCH(MAX($A494,$B494+14),paste_RI!$A$2:$A$57,0),$B494)</f>
        <v>3.0499999999999999E-4</v>
      </c>
      <c r="D494" s="11">
        <f>INDEX(paste_TI!$B$2:$G$57,MATCH(MAX($A494,MIN($B494,6)+14),paste_TI!$A$2:$A$57,0),MIN($B494,6))</f>
        <v>3.5137000000000002E-2</v>
      </c>
    </row>
    <row r="495" spans="1:4" ht="15" customHeight="1" x14ac:dyDescent="0.45">
      <c r="A495" s="8">
        <v>64</v>
      </c>
      <c r="B495" s="8">
        <v>4</v>
      </c>
      <c r="C495" s="11">
        <f>INDEX(paste_RI!$B$2:$K$57,MATCH(MAX($A495,$B495+14),paste_RI!$A$2:$A$57,0),$B495)</f>
        <v>7.2999999999999999E-5</v>
      </c>
      <c r="D495" s="11">
        <f>INDEX(paste_TI!$B$2:$G$57,MATCH(MAX($A495,MIN($B495,6)+14),paste_TI!$A$2:$A$57,0),MIN($B495,6))</f>
        <v>2.9191000000000002E-2</v>
      </c>
    </row>
    <row r="496" spans="1:4" ht="15" customHeight="1" x14ac:dyDescent="0.45">
      <c r="A496" s="8">
        <v>64</v>
      </c>
      <c r="B496" s="8">
        <v>5</v>
      </c>
      <c r="C496" s="11">
        <f>INDEX(paste_RI!$B$2:$K$57,MATCH(MAX($A496,$B496+14),paste_RI!$A$2:$A$57,0),$B496)</f>
        <v>7.2999999999999999E-5</v>
      </c>
      <c r="D496" s="11">
        <f>INDEX(paste_TI!$B$2:$G$57,MATCH(MAX($A496,MIN($B496,6)+14),paste_TI!$A$2:$A$57,0),MIN($B496,6))</f>
        <v>2.1224E-2</v>
      </c>
    </row>
    <row r="497" spans="1:4" ht="15" customHeight="1" x14ac:dyDescent="0.45">
      <c r="A497" s="8">
        <v>64</v>
      </c>
      <c r="B497" s="8">
        <v>6</v>
      </c>
      <c r="C497" s="11">
        <f>INDEX(paste_RI!$B$2:$K$57,MATCH(MAX($A497,$B497+14),paste_RI!$A$2:$A$57,0),$B497)</f>
        <v>7.2999999999999999E-5</v>
      </c>
      <c r="D497" s="11">
        <f>INDEX(paste_TI!$B$2:$G$57,MATCH(MAX($A497,MIN($B497,6)+14),paste_TI!$A$2:$A$57,0),MIN($B497,6))</f>
        <v>2.1224E-2</v>
      </c>
    </row>
    <row r="498" spans="1:4" ht="15" customHeight="1" x14ac:dyDescent="0.45">
      <c r="A498" s="8">
        <v>64</v>
      </c>
      <c r="B498" s="8">
        <v>7</v>
      </c>
      <c r="C498" s="11">
        <f>INDEX(paste_RI!$B$2:$K$57,MATCH(MAX($A498,$B498+14),paste_RI!$A$2:$A$57,0),$B498)</f>
        <v>7.2999999999999999E-5</v>
      </c>
      <c r="D498" s="11">
        <f>INDEX(paste_TI!$B$2:$G$57,MATCH(MAX($A498,MIN($B498,6)+14),paste_TI!$A$2:$A$57,0),MIN($B498,6))</f>
        <v>2.1224E-2</v>
      </c>
    </row>
    <row r="499" spans="1:4" ht="15" customHeight="1" x14ac:dyDescent="0.45">
      <c r="A499" s="8">
        <v>64</v>
      </c>
      <c r="B499" s="8">
        <v>8</v>
      </c>
      <c r="C499" s="11">
        <f>INDEX(paste_RI!$B$2:$K$57,MATCH(MAX($A499,$B499+14),paste_RI!$A$2:$A$57,0),$B499)</f>
        <v>7.2999999999999999E-5</v>
      </c>
      <c r="D499" s="11">
        <f>INDEX(paste_TI!$B$2:$G$57,MATCH(MAX($A499,MIN($B499,6)+14),paste_TI!$A$2:$A$57,0),MIN($B499,6))</f>
        <v>2.1224E-2</v>
      </c>
    </row>
    <row r="500" spans="1:4" ht="15" customHeight="1" x14ac:dyDescent="0.45">
      <c r="A500" s="8">
        <v>64</v>
      </c>
      <c r="B500" s="8">
        <v>9</v>
      </c>
      <c r="C500" s="11">
        <f>INDEX(paste_RI!$B$2:$K$57,MATCH(MAX($A500,$B500+14),paste_RI!$A$2:$A$57,0),$B500)</f>
        <v>7.2999999999999999E-5</v>
      </c>
      <c r="D500" s="11">
        <f>INDEX(paste_TI!$B$2:$G$57,MATCH(MAX($A500,MIN($B500,6)+14),paste_TI!$A$2:$A$57,0),MIN($B500,6))</f>
        <v>2.1224E-2</v>
      </c>
    </row>
    <row r="501" spans="1:4" ht="15" customHeight="1" x14ac:dyDescent="0.45">
      <c r="A501" s="8">
        <v>64</v>
      </c>
      <c r="B501" s="8">
        <v>10</v>
      </c>
      <c r="C501" s="11">
        <f>INDEX(paste_RI!$B$2:$K$57,MATCH(MAX($A501,$B501+14),paste_RI!$A$2:$A$57,0),$B501)</f>
        <v>7.2999999999999999E-5</v>
      </c>
      <c r="D501" s="11">
        <f>INDEX(paste_TI!$B$2:$G$57,MATCH(MAX($A501,MIN($B501,6)+14),paste_TI!$A$2:$A$57,0),MIN($B501,6))</f>
        <v>2.1224E-2</v>
      </c>
    </row>
    <row r="502" spans="1:4" ht="15" customHeight="1" x14ac:dyDescent="0.45">
      <c r="A502" s="8">
        <v>65</v>
      </c>
      <c r="B502" s="8">
        <v>1</v>
      </c>
      <c r="C502" s="11">
        <f>INDEX(paste_RI!$B$2:$K$57,MATCH(MAX($A502,$B502+14),paste_RI!$A$2:$A$57,0),$B502)</f>
        <v>6.9100000000000003E-3</v>
      </c>
      <c r="D502" s="11">
        <f>INDEX(paste_TI!$B$2:$G$57,MATCH(MAX($A502,MIN($B502,6)+14),paste_TI!$A$2:$A$57,0),MIN($B502,6))</f>
        <v>4.9494000000000003E-2</v>
      </c>
    </row>
    <row r="503" spans="1:4" ht="15" customHeight="1" x14ac:dyDescent="0.45">
      <c r="A503" s="8">
        <v>65</v>
      </c>
      <c r="B503" s="8">
        <v>2</v>
      </c>
      <c r="C503" s="11">
        <f>INDEX(paste_RI!$B$2:$K$57,MATCH(MAX($A503,$B503+14),paste_RI!$A$2:$A$57,0),$B503)</f>
        <v>1.8469999999999999E-3</v>
      </c>
      <c r="D503" s="11">
        <f>INDEX(paste_TI!$B$2:$G$57,MATCH(MAX($A503,MIN($B503,6)+14),paste_TI!$A$2:$A$57,0),MIN($B503,6))</f>
        <v>5.0493999999999997E-2</v>
      </c>
    </row>
    <row r="504" spans="1:4" ht="15" customHeight="1" x14ac:dyDescent="0.45">
      <c r="A504" s="8">
        <v>65</v>
      </c>
      <c r="B504" s="8">
        <v>3</v>
      </c>
      <c r="C504" s="11">
        <f>INDEX(paste_RI!$B$2:$K$57,MATCH(MAX($A504,$B504+14),paste_RI!$A$2:$A$57,0),$B504)</f>
        <v>1.4799999999999999E-4</v>
      </c>
      <c r="D504" s="11">
        <f>INDEX(paste_TI!$B$2:$G$57,MATCH(MAX($A504,MIN($B504,6)+14),paste_TI!$A$2:$A$57,0),MIN($B504,6))</f>
        <v>3.5919E-2</v>
      </c>
    </row>
    <row r="505" spans="1:4" ht="15" customHeight="1" x14ac:dyDescent="0.45">
      <c r="A505" s="8">
        <v>65</v>
      </c>
      <c r="B505" s="8">
        <v>4</v>
      </c>
      <c r="C505" s="11">
        <f>INDEX(paste_RI!$B$2:$K$57,MATCH(MAX($A505,$B505+14),paste_RI!$A$2:$A$57,0),$B505)</f>
        <v>3.0000000000000001E-5</v>
      </c>
      <c r="D505" s="11">
        <f>INDEX(paste_TI!$B$2:$G$57,MATCH(MAX($A505,MIN($B505,6)+14),paste_TI!$A$2:$A$57,0),MIN($B505,6))</f>
        <v>3.0103000000000001E-2</v>
      </c>
    </row>
    <row r="506" spans="1:4" ht="15" customHeight="1" x14ac:dyDescent="0.45">
      <c r="A506" s="8">
        <v>65</v>
      </c>
      <c r="B506" s="8">
        <v>5</v>
      </c>
      <c r="C506" s="11">
        <f>INDEX(paste_RI!$B$2:$K$57,MATCH(MAX($A506,$B506+14),paste_RI!$A$2:$A$57,0),$B506)</f>
        <v>3.0000000000000001E-5</v>
      </c>
      <c r="D506" s="11">
        <f>INDEX(paste_TI!$B$2:$G$57,MATCH(MAX($A506,MIN($B506,6)+14),paste_TI!$A$2:$A$57,0),MIN($B506,6))</f>
        <v>2.1857999999999999E-2</v>
      </c>
    </row>
    <row r="507" spans="1:4" ht="15" customHeight="1" x14ac:dyDescent="0.45">
      <c r="A507" s="8">
        <v>65</v>
      </c>
      <c r="B507" s="8">
        <v>6</v>
      </c>
      <c r="C507" s="11">
        <f>INDEX(paste_RI!$B$2:$K$57,MATCH(MAX($A507,$B507+14),paste_RI!$A$2:$A$57,0),$B507)</f>
        <v>3.0000000000000001E-5</v>
      </c>
      <c r="D507" s="11">
        <f>INDEX(paste_TI!$B$2:$G$57,MATCH(MAX($A507,MIN($B507,6)+14),paste_TI!$A$2:$A$57,0),MIN($B507,6))</f>
        <v>2.1857999999999999E-2</v>
      </c>
    </row>
    <row r="508" spans="1:4" ht="15" customHeight="1" x14ac:dyDescent="0.45">
      <c r="A508" s="8">
        <v>65</v>
      </c>
      <c r="B508" s="8">
        <v>7</v>
      </c>
      <c r="C508" s="11">
        <f>INDEX(paste_RI!$B$2:$K$57,MATCH(MAX($A508,$B508+14),paste_RI!$A$2:$A$57,0),$B508)</f>
        <v>3.0000000000000001E-5</v>
      </c>
      <c r="D508" s="11">
        <f>INDEX(paste_TI!$B$2:$G$57,MATCH(MAX($A508,MIN($B508,6)+14),paste_TI!$A$2:$A$57,0),MIN($B508,6))</f>
        <v>2.1857999999999999E-2</v>
      </c>
    </row>
    <row r="509" spans="1:4" ht="15" customHeight="1" x14ac:dyDescent="0.45">
      <c r="A509" s="8">
        <v>65</v>
      </c>
      <c r="B509" s="8">
        <v>8</v>
      </c>
      <c r="C509" s="11">
        <f>INDEX(paste_RI!$B$2:$K$57,MATCH(MAX($A509,$B509+14),paste_RI!$A$2:$A$57,0),$B509)</f>
        <v>3.0000000000000001E-5</v>
      </c>
      <c r="D509" s="11">
        <f>INDEX(paste_TI!$B$2:$G$57,MATCH(MAX($A509,MIN($B509,6)+14),paste_TI!$A$2:$A$57,0),MIN($B509,6))</f>
        <v>2.1857999999999999E-2</v>
      </c>
    </row>
    <row r="510" spans="1:4" ht="15" customHeight="1" x14ac:dyDescent="0.45">
      <c r="A510" s="8">
        <v>65</v>
      </c>
      <c r="B510" s="8">
        <v>9</v>
      </c>
      <c r="C510" s="11">
        <f>INDEX(paste_RI!$B$2:$K$57,MATCH(MAX($A510,$B510+14),paste_RI!$A$2:$A$57,0),$B510)</f>
        <v>3.0000000000000001E-5</v>
      </c>
      <c r="D510" s="11">
        <f>INDEX(paste_TI!$B$2:$G$57,MATCH(MAX($A510,MIN($B510,6)+14),paste_TI!$A$2:$A$57,0),MIN($B510,6))</f>
        <v>2.1857999999999999E-2</v>
      </c>
    </row>
    <row r="511" spans="1:4" ht="15" customHeight="1" x14ac:dyDescent="0.45">
      <c r="A511" s="8">
        <v>65</v>
      </c>
      <c r="B511" s="8">
        <v>10</v>
      </c>
      <c r="C511" s="11">
        <f>INDEX(paste_RI!$B$2:$K$57,MATCH(MAX($A511,$B511+14),paste_RI!$A$2:$A$57,0),$B511)</f>
        <v>3.0000000000000001E-5</v>
      </c>
      <c r="D511" s="11">
        <f>INDEX(paste_TI!$B$2:$G$57,MATCH(MAX($A511,MIN($B511,6)+14),paste_TI!$A$2:$A$57,0),MIN($B511,6))</f>
        <v>2.1857999999999999E-2</v>
      </c>
    </row>
    <row r="512" spans="1:4" ht="15" customHeight="1" x14ac:dyDescent="0.45">
      <c r="A512" s="8">
        <v>66</v>
      </c>
      <c r="B512" s="8">
        <v>1</v>
      </c>
      <c r="C512" s="11">
        <f>INDEX(paste_RI!$B$2:$K$57,MATCH(MAX($A512,$B512+14),paste_RI!$A$2:$A$57,0),$B512)</f>
        <v>5.1809999999999998E-3</v>
      </c>
      <c r="D512" s="11">
        <f>INDEX(paste_TI!$B$2:$G$57,MATCH(MAX($A512,MIN($B512,6)+14),paste_TI!$A$2:$A$57,0),MIN($B512,6))</f>
        <v>5.0651000000000002E-2</v>
      </c>
    </row>
    <row r="513" spans="1:4" ht="15" customHeight="1" x14ac:dyDescent="0.45">
      <c r="A513" s="8">
        <v>66</v>
      </c>
      <c r="B513" s="8">
        <v>2</v>
      </c>
      <c r="C513" s="11">
        <f>INDEX(paste_RI!$B$2:$K$57,MATCH(MAX($A513,$B513+14),paste_RI!$A$2:$A$57,0),$B513)</f>
        <v>1.137E-3</v>
      </c>
      <c r="D513" s="11">
        <f>INDEX(paste_TI!$B$2:$G$57,MATCH(MAX($A513,MIN($B513,6)+14),paste_TI!$A$2:$A$57,0),MIN($B513,6))</f>
        <v>5.1454E-2</v>
      </c>
    </row>
    <row r="514" spans="1:4" ht="15" customHeight="1" x14ac:dyDescent="0.45">
      <c r="A514" s="8">
        <v>66</v>
      </c>
      <c r="B514" s="8">
        <v>3</v>
      </c>
      <c r="C514" s="11">
        <f>INDEX(paste_RI!$B$2:$K$57,MATCH(MAX($A514,$B514+14),paste_RI!$A$2:$A$57,0),$B514)</f>
        <v>6.7999999999999999E-5</v>
      </c>
      <c r="D514" s="11">
        <f>INDEX(paste_TI!$B$2:$G$57,MATCH(MAX($A514,MIN($B514,6)+14),paste_TI!$A$2:$A$57,0),MIN($B514,6))</f>
        <v>3.6683E-2</v>
      </c>
    </row>
    <row r="515" spans="1:4" ht="15" customHeight="1" x14ac:dyDescent="0.45">
      <c r="A515" s="8">
        <v>66</v>
      </c>
      <c r="B515" s="8">
        <v>4</v>
      </c>
      <c r="C515" s="11">
        <f>INDEX(paste_RI!$B$2:$K$57,MATCH(MAX($A515,$B515+14),paste_RI!$A$2:$A$57,0),$B515)</f>
        <v>1.2E-5</v>
      </c>
      <c r="D515" s="11">
        <f>INDEX(paste_TI!$B$2:$G$57,MATCH(MAX($A515,MIN($B515,6)+14),paste_TI!$A$2:$A$57,0),MIN($B515,6))</f>
        <v>3.0994000000000001E-2</v>
      </c>
    </row>
    <row r="516" spans="1:4" ht="15" customHeight="1" x14ac:dyDescent="0.45">
      <c r="A516" s="8">
        <v>66</v>
      </c>
      <c r="B516" s="8">
        <v>5</v>
      </c>
      <c r="C516" s="11">
        <f>INDEX(paste_RI!$B$2:$K$57,MATCH(MAX($A516,$B516+14),paste_RI!$A$2:$A$57,0),$B516)</f>
        <v>1.2E-5</v>
      </c>
      <c r="D516" s="11">
        <f>INDEX(paste_TI!$B$2:$G$57,MATCH(MAX($A516,MIN($B516,6)+14),paste_TI!$A$2:$A$57,0),MIN($B516,6))</f>
        <v>2.2402999999999999E-2</v>
      </c>
    </row>
    <row r="517" spans="1:4" ht="15" customHeight="1" x14ac:dyDescent="0.45">
      <c r="A517" s="8">
        <v>66</v>
      </c>
      <c r="B517" s="8">
        <v>6</v>
      </c>
      <c r="C517" s="11">
        <f>INDEX(paste_RI!$B$2:$K$57,MATCH(MAX($A517,$B517+14),paste_RI!$A$2:$A$57,0),$B517)</f>
        <v>1.2E-5</v>
      </c>
      <c r="D517" s="11">
        <f>INDEX(paste_TI!$B$2:$G$57,MATCH(MAX($A517,MIN($B517,6)+14),paste_TI!$A$2:$A$57,0),MIN($B517,6))</f>
        <v>2.2402999999999999E-2</v>
      </c>
    </row>
    <row r="518" spans="1:4" ht="15" customHeight="1" x14ac:dyDescent="0.45">
      <c r="A518" s="8">
        <v>66</v>
      </c>
      <c r="B518" s="8">
        <v>7</v>
      </c>
      <c r="C518" s="11">
        <f>INDEX(paste_RI!$B$2:$K$57,MATCH(MAX($A518,$B518+14),paste_RI!$A$2:$A$57,0),$B518)</f>
        <v>1.2E-5</v>
      </c>
      <c r="D518" s="11">
        <f>INDEX(paste_TI!$B$2:$G$57,MATCH(MAX($A518,MIN($B518,6)+14),paste_TI!$A$2:$A$57,0),MIN($B518,6))</f>
        <v>2.2402999999999999E-2</v>
      </c>
    </row>
    <row r="519" spans="1:4" ht="15" customHeight="1" x14ac:dyDescent="0.45">
      <c r="A519" s="8">
        <v>66</v>
      </c>
      <c r="B519" s="8">
        <v>8</v>
      </c>
      <c r="C519" s="11">
        <f>INDEX(paste_RI!$B$2:$K$57,MATCH(MAX($A519,$B519+14),paste_RI!$A$2:$A$57,0),$B519)</f>
        <v>1.2E-5</v>
      </c>
      <c r="D519" s="11">
        <f>INDEX(paste_TI!$B$2:$G$57,MATCH(MAX($A519,MIN($B519,6)+14),paste_TI!$A$2:$A$57,0),MIN($B519,6))</f>
        <v>2.2402999999999999E-2</v>
      </c>
    </row>
    <row r="520" spans="1:4" ht="15" customHeight="1" x14ac:dyDescent="0.45">
      <c r="A520" s="8">
        <v>66</v>
      </c>
      <c r="B520" s="8">
        <v>9</v>
      </c>
      <c r="C520" s="11">
        <f>INDEX(paste_RI!$B$2:$K$57,MATCH(MAX($A520,$B520+14),paste_RI!$A$2:$A$57,0),$B520)</f>
        <v>1.2E-5</v>
      </c>
      <c r="D520" s="11">
        <f>INDEX(paste_TI!$B$2:$G$57,MATCH(MAX($A520,MIN($B520,6)+14),paste_TI!$A$2:$A$57,0),MIN($B520,6))</f>
        <v>2.2402999999999999E-2</v>
      </c>
    </row>
    <row r="521" spans="1:4" ht="15" customHeight="1" x14ac:dyDescent="0.45">
      <c r="A521" s="8">
        <v>66</v>
      </c>
      <c r="B521" s="8">
        <v>10</v>
      </c>
      <c r="C521" s="11">
        <f>INDEX(paste_RI!$B$2:$K$57,MATCH(MAX($A521,$B521+14),paste_RI!$A$2:$A$57,0),$B521)</f>
        <v>1.2E-5</v>
      </c>
      <c r="D521" s="11">
        <f>INDEX(paste_TI!$B$2:$G$57,MATCH(MAX($A521,MIN($B521,6)+14),paste_TI!$A$2:$A$57,0),MIN($B521,6))</f>
        <v>2.2402999999999999E-2</v>
      </c>
    </row>
    <row r="522" spans="1:4" ht="15" customHeight="1" x14ac:dyDescent="0.45">
      <c r="A522" s="8">
        <v>67</v>
      </c>
      <c r="B522" s="8">
        <v>1</v>
      </c>
      <c r="C522" s="11">
        <f>INDEX(paste_RI!$B$2:$K$57,MATCH(MAX($A522,$B522+14),paste_RI!$A$2:$A$57,0),$B522)</f>
        <v>3.8219999999999999E-3</v>
      </c>
      <c r="D522" s="11">
        <f>INDEX(paste_TI!$B$2:$G$57,MATCH(MAX($A522,MIN($B522,6)+14),paste_TI!$A$2:$A$57,0),MIN($B522,6))</f>
        <v>5.178E-2</v>
      </c>
    </row>
    <row r="523" spans="1:4" ht="15" customHeight="1" x14ac:dyDescent="0.45">
      <c r="A523" s="8">
        <v>67</v>
      </c>
      <c r="B523" s="8">
        <v>2</v>
      </c>
      <c r="C523" s="11">
        <f>INDEX(paste_RI!$B$2:$K$57,MATCH(MAX($A523,$B523+14),paste_RI!$A$2:$A$57,0),$B523)</f>
        <v>6.7900000000000002E-4</v>
      </c>
      <c r="D523" s="11">
        <f>INDEX(paste_TI!$B$2:$G$57,MATCH(MAX($A523,MIN($B523,6)+14),paste_TI!$A$2:$A$57,0),MIN($B523,6))</f>
        <v>5.2398E-2</v>
      </c>
    </row>
    <row r="524" spans="1:4" ht="15" customHeight="1" x14ac:dyDescent="0.45">
      <c r="A524" s="8">
        <v>67</v>
      </c>
      <c r="B524" s="8">
        <v>3</v>
      </c>
      <c r="C524" s="11">
        <f>INDEX(paste_RI!$B$2:$K$57,MATCH(MAX($A524,$B524+14),paste_RI!$A$2:$A$57,0),$B524)</f>
        <v>2.9E-5</v>
      </c>
      <c r="D524" s="11">
        <f>INDEX(paste_TI!$B$2:$G$57,MATCH(MAX($A524,MIN($B524,6)+14),paste_TI!$A$2:$A$57,0),MIN($B524,6))</f>
        <v>3.7428000000000003E-2</v>
      </c>
    </row>
    <row r="525" spans="1:4" ht="15" customHeight="1" x14ac:dyDescent="0.45">
      <c r="A525" s="8">
        <v>67</v>
      </c>
      <c r="B525" s="8">
        <v>4</v>
      </c>
      <c r="C525" s="11">
        <f>INDEX(paste_RI!$B$2:$K$57,MATCH(MAX($A525,$B525+14),paste_RI!$A$2:$A$57,0),$B525)</f>
        <v>3.9999999999999998E-6</v>
      </c>
      <c r="D525" s="11">
        <f>INDEX(paste_TI!$B$2:$G$57,MATCH(MAX($A525,MIN($B525,6)+14),paste_TI!$A$2:$A$57,0),MIN($B525,6))</f>
        <v>3.1859999999999999E-2</v>
      </c>
    </row>
    <row r="526" spans="1:4" ht="15" customHeight="1" x14ac:dyDescent="0.45">
      <c r="A526" s="8">
        <v>67</v>
      </c>
      <c r="B526" s="8">
        <v>5</v>
      </c>
      <c r="C526" s="11">
        <f>INDEX(paste_RI!$B$2:$K$57,MATCH(MAX($A526,$B526+14),paste_RI!$A$2:$A$57,0),$B526)</f>
        <v>3.9999999999999998E-6</v>
      </c>
      <c r="D526" s="11">
        <f>INDEX(paste_TI!$B$2:$G$57,MATCH(MAX($A526,MIN($B526,6)+14),paste_TI!$A$2:$A$57,0),MIN($B526,6))</f>
        <v>2.2849999999999999E-2</v>
      </c>
    </row>
    <row r="527" spans="1:4" ht="15" customHeight="1" x14ac:dyDescent="0.45">
      <c r="A527" s="8">
        <v>67</v>
      </c>
      <c r="B527" s="8">
        <v>6</v>
      </c>
      <c r="C527" s="11">
        <f>INDEX(paste_RI!$B$2:$K$57,MATCH(MAX($A527,$B527+14),paste_RI!$A$2:$A$57,0),$B527)</f>
        <v>3.9999999999999998E-6</v>
      </c>
      <c r="D527" s="11">
        <f>INDEX(paste_TI!$B$2:$G$57,MATCH(MAX($A527,MIN($B527,6)+14),paste_TI!$A$2:$A$57,0),MIN($B527,6))</f>
        <v>2.2849999999999999E-2</v>
      </c>
    </row>
    <row r="528" spans="1:4" ht="15" customHeight="1" x14ac:dyDescent="0.45">
      <c r="A528" s="8">
        <v>67</v>
      </c>
      <c r="B528" s="8">
        <v>7</v>
      </c>
      <c r="C528" s="11">
        <f>INDEX(paste_RI!$B$2:$K$57,MATCH(MAX($A528,$B528+14),paste_RI!$A$2:$A$57,0),$B528)</f>
        <v>3.9999999999999998E-6</v>
      </c>
      <c r="D528" s="11">
        <f>INDEX(paste_TI!$B$2:$G$57,MATCH(MAX($A528,MIN($B528,6)+14),paste_TI!$A$2:$A$57,0),MIN($B528,6))</f>
        <v>2.2849999999999999E-2</v>
      </c>
    </row>
    <row r="529" spans="1:4" ht="15" customHeight="1" x14ac:dyDescent="0.45">
      <c r="A529" s="8">
        <v>67</v>
      </c>
      <c r="B529" s="8">
        <v>8</v>
      </c>
      <c r="C529" s="11">
        <f>INDEX(paste_RI!$B$2:$K$57,MATCH(MAX($A529,$B529+14),paste_RI!$A$2:$A$57,0),$B529)</f>
        <v>3.9999999999999998E-6</v>
      </c>
      <c r="D529" s="11">
        <f>INDEX(paste_TI!$B$2:$G$57,MATCH(MAX($A529,MIN($B529,6)+14),paste_TI!$A$2:$A$57,0),MIN($B529,6))</f>
        <v>2.2849999999999999E-2</v>
      </c>
    </row>
    <row r="530" spans="1:4" ht="15" customHeight="1" x14ac:dyDescent="0.45">
      <c r="A530" s="8">
        <v>67</v>
      </c>
      <c r="B530" s="8">
        <v>9</v>
      </c>
      <c r="C530" s="11">
        <f>INDEX(paste_RI!$B$2:$K$57,MATCH(MAX($A530,$B530+14),paste_RI!$A$2:$A$57,0),$B530)</f>
        <v>3.9999999999999998E-6</v>
      </c>
      <c r="D530" s="11">
        <f>INDEX(paste_TI!$B$2:$G$57,MATCH(MAX($A530,MIN($B530,6)+14),paste_TI!$A$2:$A$57,0),MIN($B530,6))</f>
        <v>2.2849999999999999E-2</v>
      </c>
    </row>
    <row r="531" spans="1:4" ht="15" customHeight="1" x14ac:dyDescent="0.45">
      <c r="A531" s="8">
        <v>67</v>
      </c>
      <c r="B531" s="8">
        <v>10</v>
      </c>
      <c r="C531" s="11">
        <f>INDEX(paste_RI!$B$2:$K$57,MATCH(MAX($A531,$B531+14),paste_RI!$A$2:$A$57,0),$B531)</f>
        <v>3.9999999999999998E-6</v>
      </c>
      <c r="D531" s="11">
        <f>INDEX(paste_TI!$B$2:$G$57,MATCH(MAX($A531,MIN($B531,6)+14),paste_TI!$A$2:$A$57,0),MIN($B531,6))</f>
        <v>2.2849999999999999E-2</v>
      </c>
    </row>
    <row r="532" spans="1:4" ht="15" customHeight="1" x14ac:dyDescent="0.45">
      <c r="A532" s="8">
        <v>68</v>
      </c>
      <c r="B532" s="8">
        <v>1</v>
      </c>
      <c r="C532" s="11">
        <f>INDEX(paste_RI!$B$2:$K$57,MATCH(MAX($A532,$B532+14),paste_RI!$A$2:$A$57,0),$B532)</f>
        <v>2.7729999999999999E-3</v>
      </c>
      <c r="D532" s="11">
        <f>INDEX(paste_TI!$B$2:$G$57,MATCH(MAX($A532,MIN($B532,6)+14),paste_TI!$A$2:$A$57,0),MIN($B532,6))</f>
        <v>5.2875999999999999E-2</v>
      </c>
    </row>
    <row r="533" spans="1:4" ht="15" customHeight="1" x14ac:dyDescent="0.45">
      <c r="A533" s="8">
        <v>68</v>
      </c>
      <c r="B533" s="8">
        <v>2</v>
      </c>
      <c r="C533" s="11">
        <f>INDEX(paste_RI!$B$2:$K$57,MATCH(MAX($A533,$B533+14),paste_RI!$A$2:$A$57,0),$B533)</f>
        <v>3.9199999999999999E-4</v>
      </c>
      <c r="D533" s="11">
        <f>INDEX(paste_TI!$B$2:$G$57,MATCH(MAX($A533,MIN($B533,6)+14),paste_TI!$A$2:$A$57,0),MIN($B533,6))</f>
        <v>5.3324000000000003E-2</v>
      </c>
    </row>
    <row r="534" spans="1:4" ht="15" customHeight="1" x14ac:dyDescent="0.45">
      <c r="A534" s="8">
        <v>68</v>
      </c>
      <c r="B534" s="8">
        <v>3</v>
      </c>
      <c r="C534" s="11">
        <f>INDEX(paste_RI!$B$2:$K$57,MATCH(MAX($A534,$B534+14),paste_RI!$A$2:$A$57,0),$B534)</f>
        <v>1.2E-5</v>
      </c>
      <c r="D534" s="11">
        <f>INDEX(paste_TI!$B$2:$G$57,MATCH(MAX($A534,MIN($B534,6)+14),paste_TI!$A$2:$A$57,0),MIN($B534,6))</f>
        <v>3.8151999999999998E-2</v>
      </c>
    </row>
    <row r="535" spans="1:4" ht="15" customHeight="1" x14ac:dyDescent="0.45">
      <c r="A535" s="8">
        <v>68</v>
      </c>
      <c r="B535" s="8">
        <v>4</v>
      </c>
      <c r="C535" s="11">
        <f>INDEX(paste_RI!$B$2:$K$57,MATCH(MAX($A535,$B535+14),paste_RI!$A$2:$A$57,0),$B535)</f>
        <v>9.9999999999999995E-7</v>
      </c>
      <c r="D535" s="11">
        <f>INDEX(paste_TI!$B$2:$G$57,MATCH(MAX($A535,MIN($B535,6)+14),paste_TI!$A$2:$A$57,0),MIN($B535,6))</f>
        <v>3.27E-2</v>
      </c>
    </row>
    <row r="536" spans="1:4" ht="15" customHeight="1" x14ac:dyDescent="0.45">
      <c r="A536" s="8">
        <v>68</v>
      </c>
      <c r="B536" s="8">
        <v>5</v>
      </c>
      <c r="C536" s="11">
        <f>INDEX(paste_RI!$B$2:$K$57,MATCH(MAX($A536,$B536+14),paste_RI!$A$2:$A$57,0),$B536)</f>
        <v>9.9999999999999995E-7</v>
      </c>
      <c r="D536" s="11">
        <f>INDEX(paste_TI!$B$2:$G$57,MATCH(MAX($A536,MIN($B536,6)+14),paste_TI!$A$2:$A$57,0),MIN($B536,6))</f>
        <v>2.3195E-2</v>
      </c>
    </row>
    <row r="537" spans="1:4" ht="15" customHeight="1" x14ac:dyDescent="0.45">
      <c r="A537" s="8">
        <v>68</v>
      </c>
      <c r="B537" s="8">
        <v>6</v>
      </c>
      <c r="C537" s="11">
        <f>INDEX(paste_RI!$B$2:$K$57,MATCH(MAX($A537,$B537+14),paste_RI!$A$2:$A$57,0),$B537)</f>
        <v>9.9999999999999995E-7</v>
      </c>
      <c r="D537" s="11">
        <f>INDEX(paste_TI!$B$2:$G$57,MATCH(MAX($A537,MIN($B537,6)+14),paste_TI!$A$2:$A$57,0),MIN($B537,6))</f>
        <v>2.3195E-2</v>
      </c>
    </row>
    <row r="538" spans="1:4" ht="15" customHeight="1" x14ac:dyDescent="0.45">
      <c r="A538" s="8">
        <v>68</v>
      </c>
      <c r="B538" s="8">
        <v>7</v>
      </c>
      <c r="C538" s="11">
        <f>INDEX(paste_RI!$B$2:$K$57,MATCH(MAX($A538,$B538+14),paste_RI!$A$2:$A$57,0),$B538)</f>
        <v>9.9999999999999995E-7</v>
      </c>
      <c r="D538" s="11">
        <f>INDEX(paste_TI!$B$2:$G$57,MATCH(MAX($A538,MIN($B538,6)+14),paste_TI!$A$2:$A$57,0),MIN($B538,6))</f>
        <v>2.3195E-2</v>
      </c>
    </row>
    <row r="539" spans="1:4" ht="15" customHeight="1" x14ac:dyDescent="0.45">
      <c r="A539" s="8">
        <v>68</v>
      </c>
      <c r="B539" s="8">
        <v>8</v>
      </c>
      <c r="C539" s="11">
        <f>INDEX(paste_RI!$B$2:$K$57,MATCH(MAX($A539,$B539+14),paste_RI!$A$2:$A$57,0),$B539)</f>
        <v>9.9999999999999995E-7</v>
      </c>
      <c r="D539" s="11">
        <f>INDEX(paste_TI!$B$2:$G$57,MATCH(MAX($A539,MIN($B539,6)+14),paste_TI!$A$2:$A$57,0),MIN($B539,6))</f>
        <v>2.3195E-2</v>
      </c>
    </row>
    <row r="540" spans="1:4" ht="15" customHeight="1" x14ac:dyDescent="0.45">
      <c r="A540" s="8">
        <v>68</v>
      </c>
      <c r="B540" s="8">
        <v>9</v>
      </c>
      <c r="C540" s="11">
        <f>INDEX(paste_RI!$B$2:$K$57,MATCH(MAX($A540,$B540+14),paste_RI!$A$2:$A$57,0),$B540)</f>
        <v>9.9999999999999995E-7</v>
      </c>
      <c r="D540" s="11">
        <f>INDEX(paste_TI!$B$2:$G$57,MATCH(MAX($A540,MIN($B540,6)+14),paste_TI!$A$2:$A$57,0),MIN($B540,6))</f>
        <v>2.3195E-2</v>
      </c>
    </row>
    <row r="541" spans="1:4" ht="15" customHeight="1" x14ac:dyDescent="0.45">
      <c r="A541" s="8">
        <v>68</v>
      </c>
      <c r="B541" s="8">
        <v>10</v>
      </c>
      <c r="C541" s="11">
        <f>INDEX(paste_RI!$B$2:$K$57,MATCH(MAX($A541,$B541+14),paste_RI!$A$2:$A$57,0),$B541)</f>
        <v>9.9999999999999995E-7</v>
      </c>
      <c r="D541" s="11">
        <f>INDEX(paste_TI!$B$2:$G$57,MATCH(MAX($A541,MIN($B541,6)+14),paste_TI!$A$2:$A$57,0),MIN($B541,6))</f>
        <v>2.3195E-2</v>
      </c>
    </row>
    <row r="542" spans="1:4" ht="15" customHeight="1" x14ac:dyDescent="0.45">
      <c r="A542" s="8">
        <v>69</v>
      </c>
      <c r="B542" s="8">
        <v>1</v>
      </c>
      <c r="C542" s="11">
        <f>INDEX(paste_RI!$B$2:$K$57,MATCH(MAX($A542,$B542+14),paste_RI!$A$2:$A$57,0),$B542)</f>
        <v>1.98E-3</v>
      </c>
      <c r="D542" s="11">
        <f>INDEX(paste_TI!$B$2:$G$57,MATCH(MAX($A542,MIN($B542,6)+14),paste_TI!$A$2:$A$57,0),MIN($B542,6))</f>
        <v>5.3936999999999999E-2</v>
      </c>
    </row>
    <row r="543" spans="1:4" ht="15" customHeight="1" x14ac:dyDescent="0.45">
      <c r="A543" s="8">
        <v>69</v>
      </c>
      <c r="B543" s="8">
        <v>2</v>
      </c>
      <c r="C543" s="11">
        <f>INDEX(paste_RI!$B$2:$K$57,MATCH(MAX($A543,$B543+14),paste_RI!$A$2:$A$57,0),$B543)</f>
        <v>2.2000000000000001E-4</v>
      </c>
      <c r="D543" s="11">
        <f>INDEX(paste_TI!$B$2:$G$57,MATCH(MAX($A543,MIN($B543,6)+14),paste_TI!$A$2:$A$57,0),MIN($B543,6))</f>
        <v>5.4232000000000002E-2</v>
      </c>
    </row>
    <row r="544" spans="1:4" ht="15" customHeight="1" x14ac:dyDescent="0.45">
      <c r="A544" s="8">
        <v>69</v>
      </c>
      <c r="B544" s="8">
        <v>3</v>
      </c>
      <c r="C544" s="11">
        <f>INDEX(paste_RI!$B$2:$K$57,MATCH(MAX($A544,$B544+14),paste_RI!$A$2:$A$57,0),$B544)</f>
        <v>5.0000000000000004E-6</v>
      </c>
      <c r="D544" s="11">
        <f>INDEX(paste_TI!$B$2:$G$57,MATCH(MAX($A544,MIN($B544,6)+14),paste_TI!$A$2:$A$57,0),MIN($B544,6))</f>
        <v>3.8852999999999999E-2</v>
      </c>
    </row>
    <row r="545" spans="1:4" ht="15" customHeight="1" x14ac:dyDescent="0.45">
      <c r="A545" s="8">
        <v>69</v>
      </c>
      <c r="B545" s="8">
        <v>4</v>
      </c>
      <c r="C545" s="11">
        <f>INDEX(paste_RI!$B$2:$K$57,MATCH(MAX($A545,$B545+14),paste_RI!$A$2:$A$57,0),$B545)</f>
        <v>0</v>
      </c>
      <c r="D545" s="11">
        <f>INDEX(paste_TI!$B$2:$G$57,MATCH(MAX($A545,MIN($B545,6)+14),paste_TI!$A$2:$A$57,0),MIN($B545,6))</f>
        <v>3.3508999999999997E-2</v>
      </c>
    </row>
    <row r="546" spans="1:4" ht="15" customHeight="1" x14ac:dyDescent="0.45">
      <c r="A546" s="8">
        <v>69</v>
      </c>
      <c r="B546" s="8">
        <v>5</v>
      </c>
      <c r="C546" s="11">
        <f>INDEX(paste_RI!$B$2:$K$57,MATCH(MAX($A546,$B546+14),paste_RI!$A$2:$A$57,0),$B546)</f>
        <v>0</v>
      </c>
      <c r="D546" s="11">
        <f>INDEX(paste_TI!$B$2:$G$57,MATCH(MAX($A546,MIN($B546,6)+14),paste_TI!$A$2:$A$57,0),MIN($B546,6))</f>
        <v>2.3431E-2</v>
      </c>
    </row>
    <row r="547" spans="1:4" ht="15" customHeight="1" x14ac:dyDescent="0.45">
      <c r="A547" s="8">
        <v>69</v>
      </c>
      <c r="B547" s="8">
        <v>6</v>
      </c>
      <c r="C547" s="11">
        <f>INDEX(paste_RI!$B$2:$K$57,MATCH(MAX($A547,$B547+14),paste_RI!$A$2:$A$57,0),$B547)</f>
        <v>0</v>
      </c>
      <c r="D547" s="11">
        <f>INDEX(paste_TI!$B$2:$G$57,MATCH(MAX($A547,MIN($B547,6)+14),paste_TI!$A$2:$A$57,0),MIN($B547,6))</f>
        <v>2.3431E-2</v>
      </c>
    </row>
    <row r="548" spans="1:4" ht="15" customHeight="1" x14ac:dyDescent="0.45">
      <c r="A548" s="8">
        <v>69</v>
      </c>
      <c r="B548" s="8">
        <v>7</v>
      </c>
      <c r="C548" s="11">
        <f>INDEX(paste_RI!$B$2:$K$57,MATCH(MAX($A548,$B548+14),paste_RI!$A$2:$A$57,0),$B548)</f>
        <v>0</v>
      </c>
      <c r="D548" s="11">
        <f>INDEX(paste_TI!$B$2:$G$57,MATCH(MAX($A548,MIN($B548,6)+14),paste_TI!$A$2:$A$57,0),MIN($B548,6))</f>
        <v>2.3431E-2</v>
      </c>
    </row>
    <row r="549" spans="1:4" ht="15" customHeight="1" x14ac:dyDescent="0.45">
      <c r="A549" s="8">
        <v>69</v>
      </c>
      <c r="B549" s="8">
        <v>8</v>
      </c>
      <c r="C549" s="11">
        <f>INDEX(paste_RI!$B$2:$K$57,MATCH(MAX($A549,$B549+14),paste_RI!$A$2:$A$57,0),$B549)</f>
        <v>0</v>
      </c>
      <c r="D549" s="11">
        <f>INDEX(paste_TI!$B$2:$G$57,MATCH(MAX($A549,MIN($B549,6)+14),paste_TI!$A$2:$A$57,0),MIN($B549,6))</f>
        <v>2.3431E-2</v>
      </c>
    </row>
    <row r="550" spans="1:4" ht="15" customHeight="1" x14ac:dyDescent="0.45">
      <c r="A550" s="8">
        <v>69</v>
      </c>
      <c r="B550" s="8">
        <v>9</v>
      </c>
      <c r="C550" s="11">
        <f>INDEX(paste_RI!$B$2:$K$57,MATCH(MAX($A550,$B550+14),paste_RI!$A$2:$A$57,0),$B550)</f>
        <v>0</v>
      </c>
      <c r="D550" s="11">
        <f>INDEX(paste_TI!$B$2:$G$57,MATCH(MAX($A550,MIN($B550,6)+14),paste_TI!$A$2:$A$57,0),MIN($B550,6))</f>
        <v>2.3431E-2</v>
      </c>
    </row>
    <row r="551" spans="1:4" ht="15" customHeight="1" x14ac:dyDescent="0.45">
      <c r="A551" s="8">
        <v>69</v>
      </c>
      <c r="B551" s="8">
        <v>10</v>
      </c>
      <c r="C551" s="11">
        <f>INDEX(paste_RI!$B$2:$K$57,MATCH(MAX($A551,$B551+14),paste_RI!$A$2:$A$57,0),$B551)</f>
        <v>0</v>
      </c>
      <c r="D551" s="11">
        <f>INDEX(paste_TI!$B$2:$G$57,MATCH(MAX($A551,MIN($B551,6)+14),paste_TI!$A$2:$A$57,0),MIN($B551,6))</f>
        <v>2.3431E-2</v>
      </c>
    </row>
    <row r="552" spans="1:4" ht="15" customHeight="1" x14ac:dyDescent="0.45">
      <c r="A552" s="8">
        <v>70</v>
      </c>
      <c r="B552" s="8">
        <v>1</v>
      </c>
      <c r="C552" s="11">
        <f>INDEX(paste_RI!$B$2:$K$57,MATCH(MAX($A552,$B552+14),paste_RI!$A$2:$A$57,0),$B552)</f>
        <v>1.39E-3</v>
      </c>
      <c r="D552" s="11">
        <f>INDEX(paste_TI!$B$2:$G$57,MATCH(MAX($A552,MIN($B552,6)+14),paste_TI!$A$2:$A$57,0),MIN($B552,6))</f>
        <v>5.4960000000000002E-2</v>
      </c>
    </row>
    <row r="553" spans="1:4" ht="15" customHeight="1" x14ac:dyDescent="0.45">
      <c r="A553" s="8">
        <v>70</v>
      </c>
      <c r="B553" s="8">
        <v>2</v>
      </c>
      <c r="C553" s="11">
        <f>INDEX(paste_RI!$B$2:$K$57,MATCH(MAX($A553,$B553+14),paste_RI!$A$2:$A$57,0),$B553)</f>
        <v>1.1900000000000001E-4</v>
      </c>
      <c r="D553" s="11">
        <f>INDEX(paste_TI!$B$2:$G$57,MATCH(MAX($A553,MIN($B553,6)+14),paste_TI!$A$2:$A$57,0),MIN($B553,6))</f>
        <v>5.5119000000000001E-2</v>
      </c>
    </row>
    <row r="554" spans="1:4" ht="15" customHeight="1" x14ac:dyDescent="0.45">
      <c r="A554" s="8">
        <v>70</v>
      </c>
      <c r="B554" s="8">
        <v>3</v>
      </c>
      <c r="C554" s="11">
        <f>INDEX(paste_RI!$B$2:$K$57,MATCH(MAX($A554,$B554+14),paste_RI!$A$2:$A$57,0),$B554)</f>
        <v>1.9999999999999999E-6</v>
      </c>
      <c r="D554" s="11">
        <f>INDEX(paste_TI!$B$2:$G$57,MATCH(MAX($A554,MIN($B554,6)+14),paste_TI!$A$2:$A$57,0),MIN($B554,6))</f>
        <v>3.9530000000000003E-2</v>
      </c>
    </row>
    <row r="555" spans="1:4" ht="15" customHeight="1" x14ac:dyDescent="0.45">
      <c r="A555" s="8">
        <v>70</v>
      </c>
      <c r="B555" s="8">
        <v>4</v>
      </c>
      <c r="C555" s="11">
        <f>INDEX(paste_RI!$B$2:$K$57,MATCH(MAX($A555,$B555+14),paste_RI!$A$2:$A$57,0),$B555)</f>
        <v>0</v>
      </c>
      <c r="D555" s="11">
        <f>INDEX(paste_TI!$B$2:$G$57,MATCH(MAX($A555,MIN($B555,6)+14),paste_TI!$A$2:$A$57,0),MIN($B555,6))</f>
        <v>3.4284000000000002E-2</v>
      </c>
    </row>
    <row r="556" spans="1:4" ht="15" customHeight="1" x14ac:dyDescent="0.45">
      <c r="A556" s="8">
        <v>70</v>
      </c>
      <c r="B556" s="8">
        <v>5</v>
      </c>
      <c r="C556" s="11">
        <f>INDEX(paste_RI!$B$2:$K$57,MATCH(MAX($A556,$B556+14),paste_RI!$A$2:$A$57,0),$B556)</f>
        <v>0</v>
      </c>
      <c r="D556" s="11">
        <f>INDEX(paste_TI!$B$2:$G$57,MATCH(MAX($A556,MIN($B556,6)+14),paste_TI!$A$2:$A$57,0),MIN($B556,6))</f>
        <v>2.3557000000000002E-2</v>
      </c>
    </row>
    <row r="557" spans="1:4" ht="15" customHeight="1" x14ac:dyDescent="0.45">
      <c r="A557" s="8">
        <v>70</v>
      </c>
      <c r="B557" s="8">
        <v>6</v>
      </c>
      <c r="C557" s="11">
        <f>INDEX(paste_RI!$B$2:$K$57,MATCH(MAX($A557,$B557+14),paste_RI!$A$2:$A$57,0),$B557)</f>
        <v>0</v>
      </c>
      <c r="D557" s="11">
        <f>INDEX(paste_TI!$B$2:$G$57,MATCH(MAX($A557,MIN($B557,6)+14),paste_TI!$A$2:$A$57,0),MIN($B557,6))</f>
        <v>2.3557000000000002E-2</v>
      </c>
    </row>
    <row r="558" spans="1:4" ht="15" customHeight="1" x14ac:dyDescent="0.45">
      <c r="A558" s="8">
        <v>70</v>
      </c>
      <c r="B558" s="8">
        <v>7</v>
      </c>
      <c r="C558" s="11">
        <f>INDEX(paste_RI!$B$2:$K$57,MATCH(MAX($A558,$B558+14),paste_RI!$A$2:$A$57,0),$B558)</f>
        <v>0</v>
      </c>
      <c r="D558" s="11">
        <f>INDEX(paste_TI!$B$2:$G$57,MATCH(MAX($A558,MIN($B558,6)+14),paste_TI!$A$2:$A$57,0),MIN($B558,6))</f>
        <v>2.3557000000000002E-2</v>
      </c>
    </row>
    <row r="559" spans="1:4" ht="15" customHeight="1" x14ac:dyDescent="0.45">
      <c r="A559" s="8">
        <v>70</v>
      </c>
      <c r="B559" s="8">
        <v>8</v>
      </c>
      <c r="C559" s="11">
        <f>INDEX(paste_RI!$B$2:$K$57,MATCH(MAX($A559,$B559+14),paste_RI!$A$2:$A$57,0),$B559)</f>
        <v>0</v>
      </c>
      <c r="D559" s="11">
        <f>INDEX(paste_TI!$B$2:$G$57,MATCH(MAX($A559,MIN($B559,6)+14),paste_TI!$A$2:$A$57,0),MIN($B559,6))</f>
        <v>2.3557000000000002E-2</v>
      </c>
    </row>
    <row r="560" spans="1:4" ht="15" customHeight="1" x14ac:dyDescent="0.45">
      <c r="A560" s="8">
        <v>70</v>
      </c>
      <c r="B560" s="8">
        <v>9</v>
      </c>
      <c r="C560" s="11">
        <f>INDEX(paste_RI!$B$2:$K$57,MATCH(MAX($A560,$B560+14),paste_RI!$A$2:$A$57,0),$B560)</f>
        <v>0</v>
      </c>
      <c r="D560" s="11">
        <f>INDEX(paste_TI!$B$2:$G$57,MATCH(MAX($A560,MIN($B560,6)+14),paste_TI!$A$2:$A$57,0),MIN($B560,6))</f>
        <v>2.3557000000000002E-2</v>
      </c>
    </row>
    <row r="561" spans="1:4" ht="15" customHeight="1" x14ac:dyDescent="0.45">
      <c r="A561" s="8">
        <v>70</v>
      </c>
      <c r="B561" s="8">
        <v>10</v>
      </c>
      <c r="C561" s="11">
        <f>INDEX(paste_RI!$B$2:$K$57,MATCH(MAX($A561,$B561+14),paste_RI!$A$2:$A$57,0),$B561)</f>
        <v>0</v>
      </c>
      <c r="D561" s="11">
        <f>INDEX(paste_TI!$B$2:$G$57,MATCH(MAX($A561,MIN($B561,6)+14),paste_TI!$A$2:$A$57,0),MIN($B561,6))</f>
        <v>2.3557000000000002E-2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README</vt:lpstr>
      <vt:lpstr>paste_RI</vt:lpstr>
      <vt:lpstr>paste_TI</vt:lpstr>
      <vt:lpstr>invalid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Dominik Gleissner</cp:lastModifiedBy>
  <cp:revision>0</cp:revision>
  <dcterms:created xsi:type="dcterms:W3CDTF">2026-08-20T10:04:53Z</dcterms:created>
  <dcterms:modified xsi:type="dcterms:W3CDTF">2026-09-28T16:38:34Z</dcterms:modified>
  <dc:language>en-US</dc:language>
</cp:coreProperties>
</file>